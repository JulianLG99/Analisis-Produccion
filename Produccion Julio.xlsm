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bookViews>
    <workbookView xWindow="0" yWindow="0" windowWidth="20490" windowHeight="7665" firstSheet="2" activeTab="4"/>
  </bookViews>
  <sheets>
    <sheet name="Configuracion" sheetId="8" r:id="rId1"/>
    <sheet name="Base Datos" sheetId="1" r:id="rId2"/>
    <sheet name="Capa. Prod." sheetId="11" r:id="rId3"/>
    <sheet name="Carga" sheetId="6" r:id="rId4"/>
    <sheet name="Tabla" sheetId="4" r:id="rId5"/>
    <sheet name="Análisis producción" sheetId="13" r:id="rId6"/>
    <sheet name="Produccion" sheetId="5" r:id="rId7"/>
    <sheet name="Materia Prima" sheetId="10" r:id="rId8"/>
    <sheet name="Moldes" sheetId="9" r:id="rId9"/>
    <sheet name="HORAS MÁQUINA RESUMEN ANUAL" sheetId="17" state="hidden" r:id="rId10"/>
    <sheet name="FÁBRICADO POR PIEZA ANUAL" sheetId="18" state="hidden" r:id="rId11"/>
    <sheet name="Hoja1" sheetId="14" state="hidden" r:id="rId12"/>
  </sheets>
  <definedNames>
    <definedName name="_xlnm._FilterDatabase" localSheetId="4" hidden="1">Tabla!$A$1:$AB$381</definedName>
    <definedName name="_xlnm.Print_Area" localSheetId="3">Carga!#REF!</definedName>
    <definedName name="_xlnm.Criteria" localSheetId="4">Tabla!$A$2:$A$380</definedName>
  </definedNames>
  <calcPr calcId="162913"/>
  <pivotCaches>
    <pivotCache cacheId="0" r:id="rId13"/>
  </pivotCaches>
</workbook>
</file>

<file path=xl/calcChain.xml><?xml version="1.0" encoding="utf-8"?>
<calcChain xmlns="http://schemas.openxmlformats.org/spreadsheetml/2006/main">
  <c r="F18" i="4" l="1"/>
  <c r="T11" i="6" l="1"/>
  <c r="S11" i="6"/>
  <c r="R11" i="6"/>
  <c r="U11" i="6" s="1"/>
  <c r="Q11" i="6"/>
  <c r="P11" i="6"/>
  <c r="W11" i="6" s="1"/>
  <c r="O11" i="6"/>
  <c r="N11" i="6"/>
  <c r="M11" i="6"/>
  <c r="F11" i="6"/>
  <c r="AB219" i="4" l="1"/>
  <c r="AB81" i="4"/>
  <c r="AB99" i="4"/>
  <c r="AB62" i="4"/>
  <c r="AB316" i="4"/>
  <c r="AB332" i="4"/>
  <c r="AB308" i="4"/>
  <c r="AB341" i="4"/>
  <c r="AB47" i="4"/>
  <c r="AB237" i="4"/>
  <c r="AB93" i="4"/>
  <c r="AB230" i="4"/>
  <c r="AB82" i="4"/>
  <c r="AB51" i="4"/>
  <c r="AB304" i="4"/>
  <c r="AB336" i="4"/>
  <c r="AB83" i="4"/>
  <c r="AB220" i="4"/>
  <c r="AB63" i="4"/>
  <c r="AB379" i="4"/>
  <c r="AB333" i="4"/>
  <c r="AB233" i="4"/>
  <c r="AB105" i="4"/>
  <c r="AB106" i="4"/>
  <c r="AB309" i="4"/>
  <c r="AB342" i="4"/>
  <c r="AB376" i="4"/>
  <c r="AB52" i="4"/>
  <c r="AB148" i="4"/>
  <c r="AB305" i="4"/>
  <c r="AB337" i="4"/>
  <c r="AB89" i="4"/>
  <c r="AB247" i="4"/>
  <c r="AB64" i="4"/>
  <c r="AB317" i="4"/>
  <c r="AB334" i="4"/>
  <c r="AB107" i="4"/>
  <c r="AB108" i="4"/>
  <c r="AB45" i="4"/>
  <c r="AB109" i="4"/>
  <c r="AB310" i="4"/>
  <c r="AB32" i="4"/>
  <c r="AB262" i="4"/>
  <c r="AB53" i="4"/>
  <c r="AB306" i="4"/>
  <c r="AB338" i="4"/>
  <c r="AB372" i="4"/>
  <c r="AB357" i="4"/>
  <c r="AB248" i="4"/>
  <c r="AB65" i="4"/>
  <c r="AB318" i="4"/>
  <c r="AB2" i="4"/>
  <c r="AB16" i="4"/>
  <c r="AB311" i="4"/>
  <c r="AB260" i="4"/>
  <c r="AB48" i="4"/>
  <c r="AB76" i="4"/>
  <c r="AB373" i="4"/>
  <c r="AB253" i="4"/>
  <c r="AB54" i="4"/>
  <c r="AB307" i="4"/>
  <c r="AB31" i="4"/>
  <c r="AB146" i="4"/>
  <c r="AB249" i="4"/>
  <c r="AB66" i="4"/>
  <c r="AB319" i="4"/>
  <c r="AB3" i="4"/>
  <c r="AB94" i="4"/>
  <c r="AB300" i="4"/>
  <c r="AB61" i="4"/>
  <c r="AB95" i="4"/>
  <c r="AB22" i="4"/>
  <c r="AB80" i="4"/>
  <c r="AB301" i="4"/>
  <c r="AB55" i="4"/>
  <c r="AB312" i="4"/>
  <c r="AB23" i="4"/>
  <c r="AB90" i="4"/>
  <c r="AB263" i="4"/>
  <c r="AB67" i="4"/>
  <c r="AB320" i="4"/>
  <c r="AB4" i="4"/>
  <c r="AB96" i="4"/>
  <c r="AB265" i="4"/>
  <c r="AB56" i="4"/>
  <c r="AB313" i="4"/>
  <c r="AB18" i="4"/>
  <c r="AB74" i="4"/>
  <c r="AB380" i="4"/>
  <c r="AB57" i="4"/>
  <c r="AB97" i="4"/>
  <c r="AB24" i="4"/>
  <c r="AB69" i="4"/>
  <c r="AB264" i="4"/>
  <c r="AB374" i="4"/>
  <c r="AB302" i="4"/>
  <c r="AB68" i="4"/>
  <c r="AB321" i="4"/>
  <c r="AB378" i="4"/>
  <c r="AB190" i="4"/>
  <c r="AB30" i="4"/>
  <c r="AB358" i="4"/>
  <c r="AB359" i="4"/>
  <c r="AB78" i="4"/>
  <c r="AB303" i="4"/>
  <c r="AB183" i="4"/>
  <c r="AB75" i="4"/>
  <c r="AB298" i="4"/>
  <c r="AB40" i="4"/>
  <c r="AB184" i="4"/>
  <c r="AB28" i="4"/>
  <c r="AB120" i="4"/>
  <c r="AB121" i="4"/>
  <c r="AB122" i="4"/>
  <c r="AB123" i="4"/>
  <c r="AB124" i="4"/>
  <c r="AB70" i="4"/>
  <c r="AB297" i="4"/>
  <c r="AB77" i="4"/>
  <c r="AB191" i="4"/>
  <c r="AB29" i="4"/>
  <c r="AB72" i="4"/>
  <c r="AB299" i="4"/>
  <c r="AB136" i="4"/>
  <c r="AB185" i="4"/>
  <c r="AB25" i="4"/>
  <c r="AB5" i="4"/>
  <c r="AB71" i="4"/>
  <c r="AB296" i="4"/>
  <c r="AB142" i="4"/>
  <c r="AB192" i="4"/>
  <c r="AB289" i="4"/>
  <c r="AB73" i="4"/>
  <c r="AB133" i="4"/>
  <c r="AB186" i="4"/>
  <c r="AB26" i="4"/>
  <c r="AB377" i="4"/>
  <c r="AB231" i="4"/>
  <c r="AB278" i="4"/>
  <c r="AB138" i="4"/>
  <c r="AB13" i="4"/>
  <c r="AB221" i="4"/>
  <c r="AB266" i="4"/>
  <c r="AB143" i="4"/>
  <c r="AB193" i="4"/>
  <c r="AB6" i="4"/>
  <c r="AB209" i="4"/>
  <c r="AB290" i="4"/>
  <c r="AB137" i="4"/>
  <c r="AB182" i="4"/>
  <c r="AB134" i="4"/>
  <c r="AB232" i="4"/>
  <c r="AB279" i="4"/>
  <c r="AB360" i="4"/>
  <c r="AB170" i="4"/>
  <c r="AB10" i="4"/>
  <c r="AB222" i="4"/>
  <c r="AB267" i="4"/>
  <c r="AB368" i="4"/>
  <c r="AB144" i="4"/>
  <c r="AB7" i="4"/>
  <c r="AB238" i="4"/>
  <c r="AB291" i="4"/>
  <c r="AB363" i="4"/>
  <c r="AB141" i="4"/>
  <c r="AB19" i="4"/>
  <c r="AB240" i="4"/>
  <c r="AB280" i="4"/>
  <c r="AB364" i="4"/>
  <c r="AB139" i="4"/>
  <c r="AB11" i="4"/>
  <c r="AB110" i="4"/>
  <c r="AB111" i="4"/>
  <c r="AB125" i="4"/>
  <c r="AB126" i="4"/>
  <c r="AB127" i="4"/>
  <c r="AB223" i="4"/>
  <c r="AB101" i="4"/>
  <c r="AB268" i="4"/>
  <c r="AB369" i="4"/>
  <c r="AB100" i="4"/>
  <c r="AB27" i="4"/>
  <c r="AB241" i="4"/>
  <c r="AB281" i="4"/>
  <c r="AB365" i="4"/>
  <c r="AB84" i="4"/>
  <c r="AB14" i="4"/>
  <c r="AB224" i="4"/>
  <c r="AB269" i="4"/>
  <c r="AB145" i="4"/>
  <c r="AB211" i="4"/>
  <c r="AB234" i="4"/>
  <c r="AB361" i="4"/>
  <c r="AB292" i="4"/>
  <c r="AB160" i="4"/>
  <c r="AB20" i="4"/>
  <c r="AB242" i="4"/>
  <c r="AB282" i="4"/>
  <c r="AB366" i="4"/>
  <c r="AB15" i="4"/>
  <c r="AB155" i="4"/>
  <c r="AB225" i="4"/>
  <c r="AB270" i="4"/>
  <c r="AB370" i="4"/>
  <c r="AB165" i="4"/>
  <c r="AB8" i="4"/>
  <c r="AB243" i="4"/>
  <c r="AB293" i="4"/>
  <c r="AB367" i="4"/>
  <c r="AB161" i="4"/>
  <c r="AB21" i="4"/>
  <c r="AB235" i="4"/>
  <c r="AB283" i="4"/>
  <c r="AB362" i="4"/>
  <c r="AB151" i="4"/>
  <c r="AB12" i="4"/>
  <c r="AB226" i="4"/>
  <c r="AB271" i="4"/>
  <c r="AB371" i="4"/>
  <c r="AB329" i="4"/>
  <c r="AB166" i="4"/>
  <c r="AB212" i="4"/>
  <c r="AB9" i="4"/>
  <c r="AB112" i="4"/>
  <c r="AB113" i="4"/>
  <c r="AB325" i="4"/>
  <c r="AB206" i="4"/>
  <c r="AB17" i="4"/>
  <c r="AB149" i="4"/>
  <c r="AB323" i="4"/>
  <c r="AB244" i="4"/>
  <c r="AB284" i="4"/>
  <c r="AB85" i="4"/>
  <c r="AB201" i="4"/>
  <c r="AB227" i="4"/>
  <c r="AB272" i="4"/>
  <c r="AB330" i="4"/>
  <c r="AB213" i="4"/>
  <c r="AB147" i="4"/>
  <c r="AB150" i="4"/>
  <c r="AB207" i="4"/>
  <c r="AB326" i="4"/>
  <c r="AB285" i="4"/>
  <c r="AB239" i="4"/>
  <c r="AB33" i="4"/>
  <c r="AB250" i="4"/>
  <c r="AB169" i="4"/>
  <c r="AB128" i="4"/>
  <c r="AB258" i="4"/>
  <c r="AB176" i="4"/>
  <c r="AB41" i="4"/>
  <c r="AB254" i="4"/>
  <c r="AB174" i="4"/>
  <c r="AB245" i="4"/>
  <c r="AB79" i="4"/>
  <c r="AB328" i="4"/>
  <c r="AB202" i="4"/>
  <c r="AB98" i="4"/>
  <c r="AB228" i="4"/>
  <c r="AB91" i="4"/>
  <c r="AB331" i="4"/>
  <c r="AB214" i="4"/>
  <c r="AB92" i="4"/>
  <c r="AB236" i="4"/>
  <c r="AB86" i="4"/>
  <c r="AB327" i="4"/>
  <c r="AB210" i="4"/>
  <c r="AB87" i="4"/>
  <c r="AB246" i="4"/>
  <c r="AB88" i="4"/>
  <c r="AB315" i="4"/>
  <c r="AB152" i="4"/>
  <c r="AB339" i="4"/>
  <c r="AB229" i="4"/>
  <c r="AB375" i="4"/>
  <c r="AB273" i="4"/>
  <c r="AB322" i="4"/>
  <c r="AB215" i="4"/>
  <c r="AB343" i="4"/>
  <c r="AB208" i="4"/>
  <c r="AB353" i="4"/>
  <c r="AB314" i="4"/>
  <c r="AB294" i="4"/>
  <c r="AB135" i="4"/>
  <c r="AB58" i="4"/>
  <c r="AB286" i="4"/>
  <c r="AB187" i="4"/>
  <c r="AB153" i="4"/>
  <c r="AB348" i="4"/>
  <c r="AB34" i="4"/>
  <c r="AB274" i="4"/>
  <c r="AB194" i="4"/>
  <c r="AB216" i="4"/>
  <c r="AB344" i="4"/>
  <c r="AB42" i="4"/>
  <c r="AB287" i="4"/>
  <c r="AB177" i="4"/>
  <c r="AB205" i="4"/>
  <c r="AB354" i="4"/>
  <c r="AB295" i="4"/>
  <c r="AB349" i="4"/>
  <c r="AB49" i="4"/>
  <c r="AB188" i="4"/>
  <c r="AB203" i="4"/>
  <c r="AB102" i="4"/>
  <c r="AB103" i="4"/>
  <c r="AB195" i="4"/>
  <c r="AB217" i="4"/>
  <c r="AB104" i="4"/>
  <c r="AB46" i="4"/>
  <c r="AB114" i="4"/>
  <c r="AB178" i="4"/>
  <c r="AB115" i="4"/>
  <c r="AB140" i="4"/>
  <c r="AB43" i="4"/>
  <c r="AB288" i="4"/>
  <c r="AB175" i="4"/>
  <c r="AB204" i="4"/>
  <c r="AB324" i="4"/>
  <c r="AB35" i="4"/>
  <c r="AB36" i="4"/>
  <c r="AB275" i="4"/>
  <c r="AB196" i="4"/>
  <c r="AB218" i="4"/>
  <c r="AB345" i="4"/>
  <c r="AB116" i="4"/>
  <c r="AB129" i="4"/>
  <c r="AB179" i="4"/>
  <c r="AB156" i="4"/>
  <c r="AB355" i="4"/>
  <c r="AB39" i="4"/>
  <c r="AB277" i="4"/>
  <c r="AB171" i="4"/>
  <c r="AB154" i="4"/>
  <c r="AB340" i="4"/>
  <c r="AB276" i="4"/>
  <c r="AB197" i="4"/>
  <c r="AB198" i="4"/>
  <c r="AB335" i="4"/>
  <c r="AB117" i="4"/>
  <c r="AB259" i="4"/>
  <c r="AB118" i="4"/>
  <c r="AB157" i="4"/>
  <c r="AB119" i="4"/>
  <c r="AB44" i="4"/>
  <c r="AB255" i="4"/>
  <c r="AB189" i="4"/>
  <c r="AB162" i="4"/>
  <c r="AB350" i="4"/>
  <c r="AB37" i="4"/>
  <c r="AB251" i="4"/>
  <c r="AB199" i="4"/>
  <c r="AB167" i="4"/>
  <c r="AB346" i="4"/>
  <c r="AB130" i="4"/>
  <c r="AB131" i="4"/>
  <c r="AB180" i="4"/>
  <c r="AB158" i="4"/>
  <c r="AB132" i="4"/>
  <c r="AB59" i="4"/>
  <c r="AB256" i="4"/>
  <c r="AB172" i="4"/>
  <c r="AB163" i="4"/>
  <c r="AB351" i="4"/>
  <c r="AB38" i="4"/>
  <c r="AB200" i="4"/>
  <c r="AB252" i="4"/>
  <c r="AB168" i="4"/>
  <c r="AB347" i="4"/>
  <c r="AB159" i="4"/>
  <c r="AB50" i="4"/>
  <c r="AB261" i="4"/>
  <c r="AB181" i="4"/>
  <c r="AB356" i="4"/>
  <c r="AB60" i="4"/>
  <c r="AB257" i="4"/>
  <c r="AB173" i="4"/>
  <c r="AB164" i="4"/>
  <c r="AB352" i="4"/>
  <c r="V219" i="4"/>
  <c r="V81" i="4"/>
  <c r="AA81" i="4" s="1"/>
  <c r="V99" i="4"/>
  <c r="AA99" i="4" s="1"/>
  <c r="V62" i="4"/>
  <c r="AA62" i="4" s="1"/>
  <c r="V316" i="4"/>
  <c r="AA316" i="4" s="1"/>
  <c r="V332" i="4"/>
  <c r="AA332" i="4" s="1"/>
  <c r="V308" i="4"/>
  <c r="AA308" i="4" s="1"/>
  <c r="V341" i="4"/>
  <c r="AA341" i="4" s="1"/>
  <c r="V47" i="4"/>
  <c r="AA47" i="4" s="1"/>
  <c r="V237" i="4"/>
  <c r="AA237" i="4" s="1"/>
  <c r="V93" i="4"/>
  <c r="AA93" i="4" s="1"/>
  <c r="V230" i="4"/>
  <c r="AA230" i="4" s="1"/>
  <c r="V82" i="4"/>
  <c r="AA82" i="4" s="1"/>
  <c r="V51" i="4"/>
  <c r="AA51" i="4" s="1"/>
  <c r="V304" i="4"/>
  <c r="AA304" i="4" s="1"/>
  <c r="V336" i="4"/>
  <c r="AA336" i="4" s="1"/>
  <c r="V83" i="4"/>
  <c r="AA83" i="4" s="1"/>
  <c r="V220" i="4"/>
  <c r="AA220" i="4" s="1"/>
  <c r="V63" i="4"/>
  <c r="AA63" i="4" s="1"/>
  <c r="V379" i="4"/>
  <c r="AA379" i="4" s="1"/>
  <c r="V333" i="4"/>
  <c r="AA333" i="4" s="1"/>
  <c r="V233" i="4"/>
  <c r="AA233" i="4" s="1"/>
  <c r="V105" i="4"/>
  <c r="AA105" i="4" s="1"/>
  <c r="V106" i="4"/>
  <c r="AA106" i="4" s="1"/>
  <c r="V309" i="4"/>
  <c r="AA309" i="4" s="1"/>
  <c r="V342" i="4"/>
  <c r="AA342" i="4" s="1"/>
  <c r="V376" i="4"/>
  <c r="AA376" i="4" s="1"/>
  <c r="V52" i="4"/>
  <c r="AA52" i="4" s="1"/>
  <c r="V148" i="4"/>
  <c r="AA148" i="4" s="1"/>
  <c r="V305" i="4"/>
  <c r="AA305" i="4" s="1"/>
  <c r="V337" i="4"/>
  <c r="AA337" i="4" s="1"/>
  <c r="V89" i="4"/>
  <c r="AA89" i="4" s="1"/>
  <c r="V247" i="4"/>
  <c r="AA247" i="4" s="1"/>
  <c r="V64" i="4"/>
  <c r="AA64" i="4" s="1"/>
  <c r="V317" i="4"/>
  <c r="AA317" i="4" s="1"/>
  <c r="V334" i="4"/>
  <c r="AA334" i="4" s="1"/>
  <c r="V107" i="4"/>
  <c r="AA107" i="4" s="1"/>
  <c r="V108" i="4"/>
  <c r="AA108" i="4" s="1"/>
  <c r="V45" i="4"/>
  <c r="AA45" i="4" s="1"/>
  <c r="V109" i="4"/>
  <c r="AA109" i="4" s="1"/>
  <c r="V310" i="4"/>
  <c r="AA310" i="4" s="1"/>
  <c r="V32" i="4"/>
  <c r="AA32" i="4" s="1"/>
  <c r="V262" i="4"/>
  <c r="AA262" i="4" s="1"/>
  <c r="V53" i="4"/>
  <c r="AA53" i="4" s="1"/>
  <c r="V306" i="4"/>
  <c r="AA306" i="4" s="1"/>
  <c r="V338" i="4"/>
  <c r="AA338" i="4" s="1"/>
  <c r="V372" i="4"/>
  <c r="AA372" i="4" s="1"/>
  <c r="V357" i="4"/>
  <c r="AA357" i="4" s="1"/>
  <c r="V248" i="4"/>
  <c r="AA248" i="4" s="1"/>
  <c r="V65" i="4"/>
  <c r="AA65" i="4" s="1"/>
  <c r="V318" i="4"/>
  <c r="AA318" i="4" s="1"/>
  <c r="V2" i="4"/>
  <c r="AA2" i="4" s="1"/>
  <c r="V16" i="4"/>
  <c r="AA16" i="4" s="1"/>
  <c r="V311" i="4"/>
  <c r="AA311" i="4" s="1"/>
  <c r="V260" i="4"/>
  <c r="AA260" i="4" s="1"/>
  <c r="V48" i="4"/>
  <c r="AA48" i="4" s="1"/>
  <c r="V76" i="4"/>
  <c r="AA76" i="4" s="1"/>
  <c r="V373" i="4"/>
  <c r="AA373" i="4" s="1"/>
  <c r="V253" i="4"/>
  <c r="AA253" i="4" s="1"/>
  <c r="V54" i="4"/>
  <c r="AA54" i="4" s="1"/>
  <c r="V307" i="4"/>
  <c r="AA307" i="4" s="1"/>
  <c r="V31" i="4"/>
  <c r="AA31" i="4" s="1"/>
  <c r="V146" i="4"/>
  <c r="AA146" i="4" s="1"/>
  <c r="V249" i="4"/>
  <c r="AA249" i="4" s="1"/>
  <c r="V66" i="4"/>
  <c r="AA66" i="4" s="1"/>
  <c r="V319" i="4"/>
  <c r="AA319" i="4" s="1"/>
  <c r="V3" i="4"/>
  <c r="AA3" i="4" s="1"/>
  <c r="V94" i="4"/>
  <c r="AA94" i="4" s="1"/>
  <c r="V300" i="4"/>
  <c r="AA300" i="4" s="1"/>
  <c r="V61" i="4"/>
  <c r="AA61" i="4" s="1"/>
  <c r="V95" i="4"/>
  <c r="AA95" i="4" s="1"/>
  <c r="V22" i="4"/>
  <c r="AA22" i="4" s="1"/>
  <c r="V80" i="4"/>
  <c r="AA80" i="4" s="1"/>
  <c r="V301" i="4"/>
  <c r="AA301" i="4" s="1"/>
  <c r="V55" i="4"/>
  <c r="AA55" i="4" s="1"/>
  <c r="V312" i="4"/>
  <c r="AA312" i="4" s="1"/>
  <c r="V23" i="4"/>
  <c r="AA23" i="4" s="1"/>
  <c r="V90" i="4"/>
  <c r="AA90" i="4" s="1"/>
  <c r="V263" i="4"/>
  <c r="AA263" i="4" s="1"/>
  <c r="V67" i="4"/>
  <c r="AA67" i="4" s="1"/>
  <c r="V320" i="4"/>
  <c r="AA320" i="4" s="1"/>
  <c r="V4" i="4"/>
  <c r="AA4" i="4" s="1"/>
  <c r="V96" i="4"/>
  <c r="AA96" i="4" s="1"/>
  <c r="V265" i="4"/>
  <c r="AA265" i="4" s="1"/>
  <c r="V56" i="4"/>
  <c r="AA56" i="4" s="1"/>
  <c r="V313" i="4"/>
  <c r="AA313" i="4" s="1"/>
  <c r="V18" i="4"/>
  <c r="AA18" i="4" s="1"/>
  <c r="V74" i="4"/>
  <c r="AA74" i="4" s="1"/>
  <c r="V380" i="4"/>
  <c r="AA380" i="4" s="1"/>
  <c r="V57" i="4"/>
  <c r="AA57" i="4" s="1"/>
  <c r="V97" i="4"/>
  <c r="AA97" i="4" s="1"/>
  <c r="V24" i="4"/>
  <c r="AA24" i="4" s="1"/>
  <c r="V69" i="4"/>
  <c r="AA69" i="4" s="1"/>
  <c r="V264" i="4"/>
  <c r="AA264" i="4" s="1"/>
  <c r="V374" i="4"/>
  <c r="AA374" i="4" s="1"/>
  <c r="V302" i="4"/>
  <c r="AA302" i="4" s="1"/>
  <c r="V68" i="4"/>
  <c r="AA68" i="4" s="1"/>
  <c r="V321" i="4"/>
  <c r="AA321" i="4" s="1"/>
  <c r="V378" i="4"/>
  <c r="AA378" i="4" s="1"/>
  <c r="V190" i="4"/>
  <c r="AA190" i="4" s="1"/>
  <c r="V30" i="4"/>
  <c r="AA30" i="4" s="1"/>
  <c r="V358" i="4"/>
  <c r="AA358" i="4" s="1"/>
  <c r="V359" i="4"/>
  <c r="AA359" i="4" s="1"/>
  <c r="V78" i="4"/>
  <c r="AA78" i="4" s="1"/>
  <c r="V303" i="4"/>
  <c r="AA303" i="4" s="1"/>
  <c r="V183" i="4"/>
  <c r="AA183" i="4" s="1"/>
  <c r="V75" i="4"/>
  <c r="AA75" i="4" s="1"/>
  <c r="V298" i="4"/>
  <c r="AA298" i="4" s="1"/>
  <c r="V40" i="4"/>
  <c r="AA40" i="4" s="1"/>
  <c r="V184" i="4"/>
  <c r="AA184" i="4" s="1"/>
  <c r="V28" i="4"/>
  <c r="AA28" i="4" s="1"/>
  <c r="V120" i="4"/>
  <c r="AA120" i="4" s="1"/>
  <c r="V121" i="4"/>
  <c r="AA121" i="4" s="1"/>
  <c r="V122" i="4"/>
  <c r="AA122" i="4" s="1"/>
  <c r="V123" i="4"/>
  <c r="AA123" i="4" s="1"/>
  <c r="V124" i="4"/>
  <c r="AA124" i="4" s="1"/>
  <c r="V70" i="4"/>
  <c r="AA70" i="4" s="1"/>
  <c r="V297" i="4"/>
  <c r="AA297" i="4" s="1"/>
  <c r="V77" i="4"/>
  <c r="AA77" i="4" s="1"/>
  <c r="V191" i="4"/>
  <c r="AA191" i="4" s="1"/>
  <c r="V29" i="4"/>
  <c r="AA29" i="4" s="1"/>
  <c r="V72" i="4"/>
  <c r="AA72" i="4" s="1"/>
  <c r="V299" i="4"/>
  <c r="AA299" i="4" s="1"/>
  <c r="V136" i="4"/>
  <c r="AA136" i="4" s="1"/>
  <c r="V185" i="4"/>
  <c r="AA185" i="4" s="1"/>
  <c r="V25" i="4"/>
  <c r="AA25" i="4" s="1"/>
  <c r="V5" i="4"/>
  <c r="AA5" i="4" s="1"/>
  <c r="V71" i="4"/>
  <c r="AA71" i="4" s="1"/>
  <c r="V296" i="4"/>
  <c r="AA296" i="4" s="1"/>
  <c r="V142" i="4"/>
  <c r="AA142" i="4" s="1"/>
  <c r="V192" i="4"/>
  <c r="AA192" i="4" s="1"/>
  <c r="V289" i="4"/>
  <c r="AA289" i="4" s="1"/>
  <c r="V73" i="4"/>
  <c r="AA73" i="4" s="1"/>
  <c r="V133" i="4"/>
  <c r="AA133" i="4" s="1"/>
  <c r="V186" i="4"/>
  <c r="AA186" i="4" s="1"/>
  <c r="V26" i="4"/>
  <c r="AA26" i="4" s="1"/>
  <c r="V377" i="4"/>
  <c r="AA377" i="4" s="1"/>
  <c r="V231" i="4"/>
  <c r="AA231" i="4" s="1"/>
  <c r="V278" i="4"/>
  <c r="AA278" i="4" s="1"/>
  <c r="V138" i="4"/>
  <c r="AA138" i="4" s="1"/>
  <c r="V13" i="4"/>
  <c r="AA13" i="4" s="1"/>
  <c r="V221" i="4"/>
  <c r="AA221" i="4" s="1"/>
  <c r="V266" i="4"/>
  <c r="AA266" i="4" s="1"/>
  <c r="V143" i="4"/>
  <c r="AA143" i="4" s="1"/>
  <c r="V193" i="4"/>
  <c r="AA193" i="4" s="1"/>
  <c r="V6" i="4"/>
  <c r="AA6" i="4" s="1"/>
  <c r="V209" i="4"/>
  <c r="AA209" i="4" s="1"/>
  <c r="V290" i="4"/>
  <c r="AA290" i="4" s="1"/>
  <c r="V137" i="4"/>
  <c r="AA137" i="4" s="1"/>
  <c r="V182" i="4"/>
  <c r="AA182" i="4" s="1"/>
  <c r="V134" i="4"/>
  <c r="AA134" i="4" s="1"/>
  <c r="V232" i="4"/>
  <c r="AA232" i="4" s="1"/>
  <c r="V279" i="4"/>
  <c r="AA279" i="4" s="1"/>
  <c r="V360" i="4"/>
  <c r="AA360" i="4" s="1"/>
  <c r="V170" i="4"/>
  <c r="AA170" i="4" s="1"/>
  <c r="V10" i="4"/>
  <c r="AA10" i="4" s="1"/>
  <c r="V222" i="4"/>
  <c r="AA222" i="4" s="1"/>
  <c r="V267" i="4"/>
  <c r="AA267" i="4" s="1"/>
  <c r="V368" i="4"/>
  <c r="AA368" i="4" s="1"/>
  <c r="V144" i="4"/>
  <c r="AA144" i="4" s="1"/>
  <c r="V7" i="4"/>
  <c r="AA7" i="4" s="1"/>
  <c r="V238" i="4"/>
  <c r="AA238" i="4" s="1"/>
  <c r="V291" i="4"/>
  <c r="AA291" i="4" s="1"/>
  <c r="V363" i="4"/>
  <c r="AA363" i="4" s="1"/>
  <c r="V141" i="4"/>
  <c r="AA141" i="4" s="1"/>
  <c r="V19" i="4"/>
  <c r="AA19" i="4" s="1"/>
  <c r="V240" i="4"/>
  <c r="AA240" i="4" s="1"/>
  <c r="V280" i="4"/>
  <c r="AA280" i="4" s="1"/>
  <c r="V364" i="4"/>
  <c r="AA364" i="4" s="1"/>
  <c r="V139" i="4"/>
  <c r="AA139" i="4" s="1"/>
  <c r="V11" i="4"/>
  <c r="AA11" i="4" s="1"/>
  <c r="V110" i="4"/>
  <c r="AA110" i="4" s="1"/>
  <c r="V111" i="4"/>
  <c r="AA111" i="4" s="1"/>
  <c r="V125" i="4"/>
  <c r="AA125" i="4" s="1"/>
  <c r="V126" i="4"/>
  <c r="AA126" i="4" s="1"/>
  <c r="V127" i="4"/>
  <c r="AA127" i="4" s="1"/>
  <c r="V223" i="4"/>
  <c r="AA223" i="4" s="1"/>
  <c r="V101" i="4"/>
  <c r="AA101" i="4" s="1"/>
  <c r="V268" i="4"/>
  <c r="AA268" i="4" s="1"/>
  <c r="V369" i="4"/>
  <c r="AA369" i="4" s="1"/>
  <c r="V100" i="4"/>
  <c r="AA100" i="4" s="1"/>
  <c r="V27" i="4"/>
  <c r="AA27" i="4" s="1"/>
  <c r="V241" i="4"/>
  <c r="AA241" i="4" s="1"/>
  <c r="V281" i="4"/>
  <c r="AA281" i="4" s="1"/>
  <c r="V365" i="4"/>
  <c r="AA365" i="4" s="1"/>
  <c r="V84" i="4"/>
  <c r="AA84" i="4" s="1"/>
  <c r="V14" i="4"/>
  <c r="AA14" i="4" s="1"/>
  <c r="V224" i="4"/>
  <c r="AA224" i="4" s="1"/>
  <c r="V269" i="4"/>
  <c r="AA269" i="4" s="1"/>
  <c r="V145" i="4"/>
  <c r="AA145" i="4" s="1"/>
  <c r="V211" i="4"/>
  <c r="AA211" i="4" s="1"/>
  <c r="V234" i="4"/>
  <c r="AA234" i="4" s="1"/>
  <c r="V361" i="4"/>
  <c r="AA361" i="4" s="1"/>
  <c r="V292" i="4"/>
  <c r="AA292" i="4" s="1"/>
  <c r="V160" i="4"/>
  <c r="AA160" i="4" s="1"/>
  <c r="V20" i="4"/>
  <c r="AA20" i="4" s="1"/>
  <c r="V242" i="4"/>
  <c r="AA242" i="4" s="1"/>
  <c r="V282" i="4"/>
  <c r="AA282" i="4" s="1"/>
  <c r="V366" i="4"/>
  <c r="AA366" i="4" s="1"/>
  <c r="V15" i="4"/>
  <c r="AA15" i="4" s="1"/>
  <c r="V155" i="4"/>
  <c r="AA155" i="4" s="1"/>
  <c r="V225" i="4"/>
  <c r="AA225" i="4" s="1"/>
  <c r="V270" i="4"/>
  <c r="AA270" i="4" s="1"/>
  <c r="V370" i="4"/>
  <c r="AA370" i="4" s="1"/>
  <c r="V165" i="4"/>
  <c r="AA165" i="4" s="1"/>
  <c r="V8" i="4"/>
  <c r="AA8" i="4" s="1"/>
  <c r="V243" i="4"/>
  <c r="AA243" i="4" s="1"/>
  <c r="V293" i="4"/>
  <c r="AA293" i="4" s="1"/>
  <c r="V367" i="4"/>
  <c r="AA367" i="4" s="1"/>
  <c r="V161" i="4"/>
  <c r="AA161" i="4" s="1"/>
  <c r="V21" i="4"/>
  <c r="AA21" i="4" s="1"/>
  <c r="V235" i="4"/>
  <c r="AA235" i="4" s="1"/>
  <c r="V283" i="4"/>
  <c r="AA283" i="4" s="1"/>
  <c r="V362" i="4"/>
  <c r="AA362" i="4" s="1"/>
  <c r="V151" i="4"/>
  <c r="AA151" i="4" s="1"/>
  <c r="V12" i="4"/>
  <c r="AA12" i="4" s="1"/>
  <c r="V226" i="4"/>
  <c r="AA226" i="4" s="1"/>
  <c r="V271" i="4"/>
  <c r="AA271" i="4" s="1"/>
  <c r="V371" i="4"/>
  <c r="AA371" i="4" s="1"/>
  <c r="V329" i="4"/>
  <c r="AA329" i="4" s="1"/>
  <c r="V166" i="4"/>
  <c r="AA166" i="4" s="1"/>
  <c r="V212" i="4"/>
  <c r="AA212" i="4" s="1"/>
  <c r="V9" i="4"/>
  <c r="AA9" i="4" s="1"/>
  <c r="V112" i="4"/>
  <c r="AA112" i="4" s="1"/>
  <c r="V113" i="4"/>
  <c r="AA113" i="4" s="1"/>
  <c r="V325" i="4"/>
  <c r="AA325" i="4" s="1"/>
  <c r="V206" i="4"/>
  <c r="AA206" i="4" s="1"/>
  <c r="V17" i="4"/>
  <c r="AA17" i="4" s="1"/>
  <c r="V149" i="4"/>
  <c r="AA149" i="4" s="1"/>
  <c r="V323" i="4"/>
  <c r="AA323" i="4" s="1"/>
  <c r="V244" i="4"/>
  <c r="AA244" i="4" s="1"/>
  <c r="V284" i="4"/>
  <c r="AA284" i="4" s="1"/>
  <c r="V85" i="4"/>
  <c r="AA85" i="4" s="1"/>
  <c r="V201" i="4"/>
  <c r="AA201" i="4" s="1"/>
  <c r="V227" i="4"/>
  <c r="AA227" i="4" s="1"/>
  <c r="V272" i="4"/>
  <c r="AA272" i="4" s="1"/>
  <c r="V330" i="4"/>
  <c r="AA330" i="4" s="1"/>
  <c r="V213" i="4"/>
  <c r="AA213" i="4" s="1"/>
  <c r="V147" i="4"/>
  <c r="AA147" i="4" s="1"/>
  <c r="V150" i="4"/>
  <c r="AA150" i="4" s="1"/>
  <c r="V207" i="4"/>
  <c r="AA207" i="4" s="1"/>
  <c r="V326" i="4"/>
  <c r="AA326" i="4" s="1"/>
  <c r="V285" i="4"/>
  <c r="AA285" i="4" s="1"/>
  <c r="V239" i="4"/>
  <c r="AA239" i="4" s="1"/>
  <c r="V33" i="4"/>
  <c r="AA33" i="4" s="1"/>
  <c r="V250" i="4"/>
  <c r="AA250" i="4" s="1"/>
  <c r="V169" i="4"/>
  <c r="AA169" i="4" s="1"/>
  <c r="V128" i="4"/>
  <c r="AA128" i="4" s="1"/>
  <c r="V258" i="4"/>
  <c r="AA258" i="4" s="1"/>
  <c r="V176" i="4"/>
  <c r="AA176" i="4" s="1"/>
  <c r="V41" i="4"/>
  <c r="AA41" i="4" s="1"/>
  <c r="V254" i="4"/>
  <c r="AA254" i="4" s="1"/>
  <c r="V174" i="4"/>
  <c r="AA174" i="4" s="1"/>
  <c r="V245" i="4"/>
  <c r="AA245" i="4" s="1"/>
  <c r="V79" i="4"/>
  <c r="AA79" i="4" s="1"/>
  <c r="V328" i="4"/>
  <c r="AA328" i="4" s="1"/>
  <c r="V202" i="4"/>
  <c r="AA202" i="4" s="1"/>
  <c r="V98" i="4"/>
  <c r="AA98" i="4" s="1"/>
  <c r="V228" i="4"/>
  <c r="AA228" i="4" s="1"/>
  <c r="V91" i="4"/>
  <c r="AA91" i="4" s="1"/>
  <c r="V331" i="4"/>
  <c r="AA331" i="4" s="1"/>
  <c r="V214" i="4"/>
  <c r="AA214" i="4" s="1"/>
  <c r="V92" i="4"/>
  <c r="AA92" i="4" s="1"/>
  <c r="V236" i="4"/>
  <c r="AA236" i="4" s="1"/>
  <c r="V86" i="4"/>
  <c r="AA86" i="4" s="1"/>
  <c r="V327" i="4"/>
  <c r="AA327" i="4" s="1"/>
  <c r="V210" i="4"/>
  <c r="AA210" i="4" s="1"/>
  <c r="V87" i="4"/>
  <c r="AA87" i="4" s="1"/>
  <c r="V246" i="4"/>
  <c r="AA246" i="4" s="1"/>
  <c r="V88" i="4"/>
  <c r="AA88" i="4" s="1"/>
  <c r="V315" i="4"/>
  <c r="AA315" i="4" s="1"/>
  <c r="V152" i="4"/>
  <c r="AA152" i="4" s="1"/>
  <c r="V339" i="4"/>
  <c r="AA339" i="4" s="1"/>
  <c r="V229" i="4"/>
  <c r="AA229" i="4" s="1"/>
  <c r="V375" i="4"/>
  <c r="AA375" i="4" s="1"/>
  <c r="V273" i="4"/>
  <c r="AA273" i="4" s="1"/>
  <c r="V322" i="4"/>
  <c r="AA322" i="4" s="1"/>
  <c r="V215" i="4"/>
  <c r="AA215" i="4" s="1"/>
  <c r="V343" i="4"/>
  <c r="AA343" i="4" s="1"/>
  <c r="V208" i="4"/>
  <c r="AA208" i="4" s="1"/>
  <c r="V353" i="4"/>
  <c r="AA353" i="4" s="1"/>
  <c r="V314" i="4"/>
  <c r="AA314" i="4" s="1"/>
  <c r="V294" i="4"/>
  <c r="AA294" i="4" s="1"/>
  <c r="V135" i="4"/>
  <c r="AA135" i="4" s="1"/>
  <c r="V58" i="4"/>
  <c r="AA58" i="4" s="1"/>
  <c r="V286" i="4"/>
  <c r="AA286" i="4" s="1"/>
  <c r="V187" i="4"/>
  <c r="AA187" i="4" s="1"/>
  <c r="V153" i="4"/>
  <c r="AA153" i="4" s="1"/>
  <c r="V348" i="4"/>
  <c r="AA348" i="4" s="1"/>
  <c r="V34" i="4"/>
  <c r="AA34" i="4" s="1"/>
  <c r="V274" i="4"/>
  <c r="AA274" i="4" s="1"/>
  <c r="V194" i="4"/>
  <c r="AA194" i="4" s="1"/>
  <c r="V216" i="4"/>
  <c r="AA216" i="4" s="1"/>
  <c r="V344" i="4"/>
  <c r="AA344" i="4" s="1"/>
  <c r="V42" i="4"/>
  <c r="AA42" i="4" s="1"/>
  <c r="V287" i="4"/>
  <c r="AA287" i="4" s="1"/>
  <c r="V177" i="4"/>
  <c r="AA177" i="4" s="1"/>
  <c r="V205" i="4"/>
  <c r="AA205" i="4" s="1"/>
  <c r="V354" i="4"/>
  <c r="AA354" i="4" s="1"/>
  <c r="V295" i="4"/>
  <c r="AA295" i="4" s="1"/>
  <c r="V349" i="4"/>
  <c r="AA349" i="4" s="1"/>
  <c r="V49" i="4"/>
  <c r="AA49" i="4" s="1"/>
  <c r="V188" i="4"/>
  <c r="AA188" i="4" s="1"/>
  <c r="V203" i="4"/>
  <c r="AA203" i="4" s="1"/>
  <c r="V102" i="4"/>
  <c r="AA102" i="4" s="1"/>
  <c r="V103" i="4"/>
  <c r="AA103" i="4" s="1"/>
  <c r="V195" i="4"/>
  <c r="AA195" i="4" s="1"/>
  <c r="V217" i="4"/>
  <c r="AA217" i="4" s="1"/>
  <c r="V104" i="4"/>
  <c r="AA104" i="4" s="1"/>
  <c r="V46" i="4"/>
  <c r="AA46" i="4" s="1"/>
  <c r="V114" i="4"/>
  <c r="AA114" i="4" s="1"/>
  <c r="V178" i="4"/>
  <c r="AA178" i="4" s="1"/>
  <c r="V115" i="4"/>
  <c r="AA115" i="4" s="1"/>
  <c r="V140" i="4"/>
  <c r="AA140" i="4" s="1"/>
  <c r="V43" i="4"/>
  <c r="AA43" i="4" s="1"/>
  <c r="V288" i="4"/>
  <c r="AA288" i="4" s="1"/>
  <c r="V175" i="4"/>
  <c r="AA175" i="4" s="1"/>
  <c r="V204" i="4"/>
  <c r="AA204" i="4" s="1"/>
  <c r="V324" i="4"/>
  <c r="AA324" i="4" s="1"/>
  <c r="V35" i="4"/>
  <c r="AA35" i="4" s="1"/>
  <c r="V36" i="4"/>
  <c r="AA36" i="4" s="1"/>
  <c r="V275" i="4"/>
  <c r="AA275" i="4" s="1"/>
  <c r="V196" i="4"/>
  <c r="AA196" i="4" s="1"/>
  <c r="V218" i="4"/>
  <c r="AA218" i="4" s="1"/>
  <c r="V345" i="4"/>
  <c r="AA345" i="4" s="1"/>
  <c r="V116" i="4"/>
  <c r="AA116" i="4" s="1"/>
  <c r="V129" i="4"/>
  <c r="AA129" i="4" s="1"/>
  <c r="V179" i="4"/>
  <c r="AA179" i="4" s="1"/>
  <c r="V156" i="4"/>
  <c r="AA156" i="4" s="1"/>
  <c r="V355" i="4"/>
  <c r="AA355" i="4" s="1"/>
  <c r="V39" i="4"/>
  <c r="AA39" i="4" s="1"/>
  <c r="V277" i="4"/>
  <c r="AA277" i="4" s="1"/>
  <c r="V171" i="4"/>
  <c r="AA171" i="4" s="1"/>
  <c r="V154" i="4"/>
  <c r="AA154" i="4" s="1"/>
  <c r="V340" i="4"/>
  <c r="AA340" i="4" s="1"/>
  <c r="V276" i="4"/>
  <c r="AA276" i="4" s="1"/>
  <c r="V197" i="4"/>
  <c r="AA197" i="4" s="1"/>
  <c r="V198" i="4"/>
  <c r="AA198" i="4" s="1"/>
  <c r="V335" i="4"/>
  <c r="AA335" i="4" s="1"/>
  <c r="V117" i="4"/>
  <c r="AA117" i="4" s="1"/>
  <c r="V259" i="4"/>
  <c r="AA259" i="4" s="1"/>
  <c r="V118" i="4"/>
  <c r="AA118" i="4" s="1"/>
  <c r="V157" i="4"/>
  <c r="AA157" i="4" s="1"/>
  <c r="V119" i="4"/>
  <c r="AA119" i="4" s="1"/>
  <c r="V44" i="4"/>
  <c r="AA44" i="4" s="1"/>
  <c r="V255" i="4"/>
  <c r="AA255" i="4" s="1"/>
  <c r="V189" i="4"/>
  <c r="AA189" i="4" s="1"/>
  <c r="V162" i="4"/>
  <c r="AA162" i="4" s="1"/>
  <c r="V350" i="4"/>
  <c r="AA350" i="4" s="1"/>
  <c r="V37" i="4"/>
  <c r="AA37" i="4" s="1"/>
  <c r="V251" i="4"/>
  <c r="AA251" i="4" s="1"/>
  <c r="V199" i="4"/>
  <c r="AA199" i="4" s="1"/>
  <c r="V167" i="4"/>
  <c r="AA167" i="4" s="1"/>
  <c r="V346" i="4"/>
  <c r="AA346" i="4" s="1"/>
  <c r="V130" i="4"/>
  <c r="AA130" i="4" s="1"/>
  <c r="V131" i="4"/>
  <c r="AA131" i="4" s="1"/>
  <c r="V180" i="4"/>
  <c r="AA180" i="4" s="1"/>
  <c r="V158" i="4"/>
  <c r="AA158" i="4" s="1"/>
  <c r="V132" i="4"/>
  <c r="AA132" i="4" s="1"/>
  <c r="V59" i="4"/>
  <c r="AA59" i="4" s="1"/>
  <c r="V256" i="4"/>
  <c r="AA256" i="4" s="1"/>
  <c r="V172" i="4"/>
  <c r="AA172" i="4" s="1"/>
  <c r="V163" i="4"/>
  <c r="AA163" i="4" s="1"/>
  <c r="V351" i="4"/>
  <c r="AA351" i="4" s="1"/>
  <c r="V38" i="4"/>
  <c r="AA38" i="4" s="1"/>
  <c r="V200" i="4"/>
  <c r="AA200" i="4" s="1"/>
  <c r="V252" i="4"/>
  <c r="AA252" i="4" s="1"/>
  <c r="V168" i="4"/>
  <c r="AA168" i="4" s="1"/>
  <c r="V347" i="4"/>
  <c r="AA347" i="4" s="1"/>
  <c r="V159" i="4"/>
  <c r="AA159" i="4" s="1"/>
  <c r="V50" i="4"/>
  <c r="AA50" i="4" s="1"/>
  <c r="V261" i="4"/>
  <c r="AA261" i="4" s="1"/>
  <c r="V181" i="4"/>
  <c r="AA181" i="4" s="1"/>
  <c r="V356" i="4"/>
  <c r="AA356" i="4" s="1"/>
  <c r="V60" i="4"/>
  <c r="AA60" i="4" s="1"/>
  <c r="V257" i="4"/>
  <c r="AA257" i="4" s="1"/>
  <c r="V173" i="4"/>
  <c r="AA173" i="4" s="1"/>
  <c r="V164" i="4"/>
  <c r="AA164" i="4" s="1"/>
  <c r="V352" i="4"/>
  <c r="AA352" i="4" s="1"/>
  <c r="Z81" i="4"/>
  <c r="Z99" i="4"/>
  <c r="Z62" i="4"/>
  <c r="Z316" i="4"/>
  <c r="Z332" i="4"/>
  <c r="Z308" i="4"/>
  <c r="Z341" i="4"/>
  <c r="Z47" i="4"/>
  <c r="Z237" i="4"/>
  <c r="Z93" i="4"/>
  <c r="Z230" i="4"/>
  <c r="Z82" i="4"/>
  <c r="Z51" i="4"/>
  <c r="Z304" i="4"/>
  <c r="Z336" i="4"/>
  <c r="Z83" i="4"/>
  <c r="Z220" i="4"/>
  <c r="Z63" i="4"/>
  <c r="Z379" i="4"/>
  <c r="Z333" i="4"/>
  <c r="Z233" i="4"/>
  <c r="Z105" i="4"/>
  <c r="Z106" i="4"/>
  <c r="Z309" i="4"/>
  <c r="Z342" i="4"/>
  <c r="Z376" i="4"/>
  <c r="Z52" i="4"/>
  <c r="Z148" i="4"/>
  <c r="Z305" i="4"/>
  <c r="Z337" i="4"/>
  <c r="Z89" i="4"/>
  <c r="Z247" i="4"/>
  <c r="Z64" i="4"/>
  <c r="Z317" i="4"/>
  <c r="Z334" i="4"/>
  <c r="Z107" i="4"/>
  <c r="Z108" i="4"/>
  <c r="Z45" i="4"/>
  <c r="Z109" i="4"/>
  <c r="Z310" i="4"/>
  <c r="Z32" i="4"/>
  <c r="Z262" i="4"/>
  <c r="Z53" i="4"/>
  <c r="Z306" i="4"/>
  <c r="Z338" i="4"/>
  <c r="Z372" i="4"/>
  <c r="Z357" i="4"/>
  <c r="Z248" i="4"/>
  <c r="Z65" i="4"/>
  <c r="Z318" i="4"/>
  <c r="Z2" i="4"/>
  <c r="Z16" i="4"/>
  <c r="Z311" i="4"/>
  <c r="Z260" i="4"/>
  <c r="Z48" i="4"/>
  <c r="Z76" i="4"/>
  <c r="Z373" i="4"/>
  <c r="Z253" i="4"/>
  <c r="Z54" i="4"/>
  <c r="Z307" i="4"/>
  <c r="Z31" i="4"/>
  <c r="Z146" i="4"/>
  <c r="Z249" i="4"/>
  <c r="Z66" i="4"/>
  <c r="Z319" i="4"/>
  <c r="Z3" i="4"/>
  <c r="Z94" i="4"/>
  <c r="Z300" i="4"/>
  <c r="Z61" i="4"/>
  <c r="Z95" i="4"/>
  <c r="Z22" i="4"/>
  <c r="Z80" i="4"/>
  <c r="Z301" i="4"/>
  <c r="Z55" i="4"/>
  <c r="Z312" i="4"/>
  <c r="Z23" i="4"/>
  <c r="Z90" i="4"/>
  <c r="Z263" i="4"/>
  <c r="Z67" i="4"/>
  <c r="Z320" i="4"/>
  <c r="Z4" i="4"/>
  <c r="Z96" i="4"/>
  <c r="Z265" i="4"/>
  <c r="Z56" i="4"/>
  <c r="Z313" i="4"/>
  <c r="Z18" i="4"/>
  <c r="Z74" i="4"/>
  <c r="Z380" i="4"/>
  <c r="Z57" i="4"/>
  <c r="Z97" i="4"/>
  <c r="Z24" i="4"/>
  <c r="Z69" i="4"/>
  <c r="Z264" i="4"/>
  <c r="Z374" i="4"/>
  <c r="Z302" i="4"/>
  <c r="Z68" i="4"/>
  <c r="Z321" i="4"/>
  <c r="Z378" i="4"/>
  <c r="Z190" i="4"/>
  <c r="Z30" i="4"/>
  <c r="Z358" i="4"/>
  <c r="Z359" i="4"/>
  <c r="Z78" i="4"/>
  <c r="Z303" i="4"/>
  <c r="Z183" i="4"/>
  <c r="Z75" i="4"/>
  <c r="Z298" i="4"/>
  <c r="Z40" i="4"/>
  <c r="Z184" i="4"/>
  <c r="Z28" i="4"/>
  <c r="Z120" i="4"/>
  <c r="Z121" i="4"/>
  <c r="Z122" i="4"/>
  <c r="Z123" i="4"/>
  <c r="Z124" i="4"/>
  <c r="Z70" i="4"/>
  <c r="Z297" i="4"/>
  <c r="Z77" i="4"/>
  <c r="Z191" i="4"/>
  <c r="Z29" i="4"/>
  <c r="Z72" i="4"/>
  <c r="Z299" i="4"/>
  <c r="Z136" i="4"/>
  <c r="Z185" i="4"/>
  <c r="Z25" i="4"/>
  <c r="Z5" i="4"/>
  <c r="Z71" i="4"/>
  <c r="Z296" i="4"/>
  <c r="Z142" i="4"/>
  <c r="Z192" i="4"/>
  <c r="Z289" i="4"/>
  <c r="Z73" i="4"/>
  <c r="Z133" i="4"/>
  <c r="Z186" i="4"/>
  <c r="Z26" i="4"/>
  <c r="Z377" i="4"/>
  <c r="Z231" i="4"/>
  <c r="Z278" i="4"/>
  <c r="Z138" i="4"/>
  <c r="Z13" i="4"/>
  <c r="Z221" i="4"/>
  <c r="Z266" i="4"/>
  <c r="Z143" i="4"/>
  <c r="Z193" i="4"/>
  <c r="Z6" i="4"/>
  <c r="Z209" i="4"/>
  <c r="Z290" i="4"/>
  <c r="Z137" i="4"/>
  <c r="Z182" i="4"/>
  <c r="Z134" i="4"/>
  <c r="Z232" i="4"/>
  <c r="Z279" i="4"/>
  <c r="Z360" i="4"/>
  <c r="Z170" i="4"/>
  <c r="Z10" i="4"/>
  <c r="Z222" i="4"/>
  <c r="Z267" i="4"/>
  <c r="Z368" i="4"/>
  <c r="Z144" i="4"/>
  <c r="Z7" i="4"/>
  <c r="Z238" i="4"/>
  <c r="Z291" i="4"/>
  <c r="Z363" i="4"/>
  <c r="Z141" i="4"/>
  <c r="Z19" i="4"/>
  <c r="Z240" i="4"/>
  <c r="Z280" i="4"/>
  <c r="Z364" i="4"/>
  <c r="Z139" i="4"/>
  <c r="Z11" i="4"/>
  <c r="Z110" i="4"/>
  <c r="Z111" i="4"/>
  <c r="Z125" i="4"/>
  <c r="Z126" i="4"/>
  <c r="Z127" i="4"/>
  <c r="Z223" i="4"/>
  <c r="Z101" i="4"/>
  <c r="Z268" i="4"/>
  <c r="Z369" i="4"/>
  <c r="Z100" i="4"/>
  <c r="Z27" i="4"/>
  <c r="Z241" i="4"/>
  <c r="Z281" i="4"/>
  <c r="Z365" i="4"/>
  <c r="Z84" i="4"/>
  <c r="Z14" i="4"/>
  <c r="Z224" i="4"/>
  <c r="Z269" i="4"/>
  <c r="Z145" i="4"/>
  <c r="Z211" i="4"/>
  <c r="Z234" i="4"/>
  <c r="Z361" i="4"/>
  <c r="Z292" i="4"/>
  <c r="Z160" i="4"/>
  <c r="Z20" i="4"/>
  <c r="Z242" i="4"/>
  <c r="Z282" i="4"/>
  <c r="Z366" i="4"/>
  <c r="Z15" i="4"/>
  <c r="Z155" i="4"/>
  <c r="Z225" i="4"/>
  <c r="Z270" i="4"/>
  <c r="Z370" i="4"/>
  <c r="Z165" i="4"/>
  <c r="Z8" i="4"/>
  <c r="Z243" i="4"/>
  <c r="Z293" i="4"/>
  <c r="Z367" i="4"/>
  <c r="Z161" i="4"/>
  <c r="Z21" i="4"/>
  <c r="Z235" i="4"/>
  <c r="Z283" i="4"/>
  <c r="Z362" i="4"/>
  <c r="Z151" i="4"/>
  <c r="Z12" i="4"/>
  <c r="Z226" i="4"/>
  <c r="Z271" i="4"/>
  <c r="Z371" i="4"/>
  <c r="Z329" i="4"/>
  <c r="Z166" i="4"/>
  <c r="Z212" i="4"/>
  <c r="Z9" i="4"/>
  <c r="Z112" i="4"/>
  <c r="Z113" i="4"/>
  <c r="Z325" i="4"/>
  <c r="Z206" i="4"/>
  <c r="Z17" i="4"/>
  <c r="Z149" i="4"/>
  <c r="Z323" i="4"/>
  <c r="Z244" i="4"/>
  <c r="Z284" i="4"/>
  <c r="Z85" i="4"/>
  <c r="Z201" i="4"/>
  <c r="Z227" i="4"/>
  <c r="Z272" i="4"/>
  <c r="Z330" i="4"/>
  <c r="Z213" i="4"/>
  <c r="Z147" i="4"/>
  <c r="Z150" i="4"/>
  <c r="Z207" i="4"/>
  <c r="Z326" i="4"/>
  <c r="Z285" i="4"/>
  <c r="Z239" i="4"/>
  <c r="Z33" i="4"/>
  <c r="Z250" i="4"/>
  <c r="Z169" i="4"/>
  <c r="Z128" i="4"/>
  <c r="Z258" i="4"/>
  <c r="Z176" i="4"/>
  <c r="Z41" i="4"/>
  <c r="Z254" i="4"/>
  <c r="Z174" i="4"/>
  <c r="Z245" i="4"/>
  <c r="Z79" i="4"/>
  <c r="Z328" i="4"/>
  <c r="Z202" i="4"/>
  <c r="Z98" i="4"/>
  <c r="Z228" i="4"/>
  <c r="Z91" i="4"/>
  <c r="Z331" i="4"/>
  <c r="Z214" i="4"/>
  <c r="Z92" i="4"/>
  <c r="Z236" i="4"/>
  <c r="Z86" i="4"/>
  <c r="Z327" i="4"/>
  <c r="Z210" i="4"/>
  <c r="Z87" i="4"/>
  <c r="Z246" i="4"/>
  <c r="Z88" i="4"/>
  <c r="Z315" i="4"/>
  <c r="Z152" i="4"/>
  <c r="Z339" i="4"/>
  <c r="Z229" i="4"/>
  <c r="Z375" i="4"/>
  <c r="Z273" i="4"/>
  <c r="Z322" i="4"/>
  <c r="Z215" i="4"/>
  <c r="Z343" i="4"/>
  <c r="Z208" i="4"/>
  <c r="Z353" i="4"/>
  <c r="Z314" i="4"/>
  <c r="Z294" i="4"/>
  <c r="Z135" i="4"/>
  <c r="Z58" i="4"/>
  <c r="Z286" i="4"/>
  <c r="Z187" i="4"/>
  <c r="Z153" i="4"/>
  <c r="Z348" i="4"/>
  <c r="Z34" i="4"/>
  <c r="Z274" i="4"/>
  <c r="Z194" i="4"/>
  <c r="Z216" i="4"/>
  <c r="Z344" i="4"/>
  <c r="Z42" i="4"/>
  <c r="Z287" i="4"/>
  <c r="Z177" i="4"/>
  <c r="Z205" i="4"/>
  <c r="Z354" i="4"/>
  <c r="Z295" i="4"/>
  <c r="Z349" i="4"/>
  <c r="Z49" i="4"/>
  <c r="Z188" i="4"/>
  <c r="Z203" i="4"/>
  <c r="Z102" i="4"/>
  <c r="Z103" i="4"/>
  <c r="Z195" i="4"/>
  <c r="Z217" i="4"/>
  <c r="Z104" i="4"/>
  <c r="Z46" i="4"/>
  <c r="Z114" i="4"/>
  <c r="Z178" i="4"/>
  <c r="Z115" i="4"/>
  <c r="Z140" i="4"/>
  <c r="Z43" i="4"/>
  <c r="Z288" i="4"/>
  <c r="Z175" i="4"/>
  <c r="Z204" i="4"/>
  <c r="Z324" i="4"/>
  <c r="Z35" i="4"/>
  <c r="Z36" i="4"/>
  <c r="Z275" i="4"/>
  <c r="Z196" i="4"/>
  <c r="Z218" i="4"/>
  <c r="Z345" i="4"/>
  <c r="Z116" i="4"/>
  <c r="Z129" i="4"/>
  <c r="Z179" i="4"/>
  <c r="Z156" i="4"/>
  <c r="Z355" i="4"/>
  <c r="Z39" i="4"/>
  <c r="Z277" i="4"/>
  <c r="Z171" i="4"/>
  <c r="Z154" i="4"/>
  <c r="Z340" i="4"/>
  <c r="Z276" i="4"/>
  <c r="Z197" i="4"/>
  <c r="Z198" i="4"/>
  <c r="Z335" i="4"/>
  <c r="Z117" i="4"/>
  <c r="Z259" i="4"/>
  <c r="Z118" i="4"/>
  <c r="Z157" i="4"/>
  <c r="Z119" i="4"/>
  <c r="Z44" i="4"/>
  <c r="Z255" i="4"/>
  <c r="Z189" i="4"/>
  <c r="Z162" i="4"/>
  <c r="Z350" i="4"/>
  <c r="Z37" i="4"/>
  <c r="Z251" i="4"/>
  <c r="Z199" i="4"/>
  <c r="Z167" i="4"/>
  <c r="Z346" i="4"/>
  <c r="Z130" i="4"/>
  <c r="Z131" i="4"/>
  <c r="Z180" i="4"/>
  <c r="Z158" i="4"/>
  <c r="Z132" i="4"/>
  <c r="Z59" i="4"/>
  <c r="Z256" i="4"/>
  <c r="Z172" i="4"/>
  <c r="Z163" i="4"/>
  <c r="Z351" i="4"/>
  <c r="Z38" i="4"/>
  <c r="Z200" i="4"/>
  <c r="Z252" i="4"/>
  <c r="Z168" i="4"/>
  <c r="Z347" i="4"/>
  <c r="Z159" i="4"/>
  <c r="Z50" i="4"/>
  <c r="Z261" i="4"/>
  <c r="Z181" i="4"/>
  <c r="Z356" i="4"/>
  <c r="Z60" i="4"/>
  <c r="Z257" i="4"/>
  <c r="Z173" i="4"/>
  <c r="Z164" i="4"/>
  <c r="Z352" i="4"/>
  <c r="Z219" i="4"/>
  <c r="X219" i="4"/>
  <c r="X81" i="4"/>
  <c r="X99" i="4"/>
  <c r="X62" i="4"/>
  <c r="X316" i="4"/>
  <c r="X332" i="4"/>
  <c r="X308" i="4"/>
  <c r="X341" i="4"/>
  <c r="X47" i="4"/>
  <c r="X237" i="4"/>
  <c r="X93" i="4"/>
  <c r="X230" i="4"/>
  <c r="X82" i="4"/>
  <c r="X51" i="4"/>
  <c r="X304" i="4"/>
  <c r="X336" i="4"/>
  <c r="X83" i="4"/>
  <c r="X220" i="4"/>
  <c r="X63" i="4"/>
  <c r="X379" i="4"/>
  <c r="X333" i="4"/>
  <c r="X233" i="4"/>
  <c r="X105" i="4"/>
  <c r="X106" i="4"/>
  <c r="X309" i="4"/>
  <c r="X342" i="4"/>
  <c r="X376" i="4"/>
  <c r="X52" i="4"/>
  <c r="X148" i="4"/>
  <c r="X305" i="4"/>
  <c r="X337" i="4"/>
  <c r="X89" i="4"/>
  <c r="X247" i="4"/>
  <c r="X64" i="4"/>
  <c r="X317" i="4"/>
  <c r="X334" i="4"/>
  <c r="X107" i="4"/>
  <c r="X108" i="4"/>
  <c r="X45" i="4"/>
  <c r="X109" i="4"/>
  <c r="X310" i="4"/>
  <c r="X32" i="4"/>
  <c r="X262" i="4"/>
  <c r="X53" i="4"/>
  <c r="X306" i="4"/>
  <c r="X338" i="4"/>
  <c r="X372" i="4"/>
  <c r="X357" i="4"/>
  <c r="X248" i="4"/>
  <c r="X65" i="4"/>
  <c r="X318" i="4"/>
  <c r="X2" i="4"/>
  <c r="X16" i="4"/>
  <c r="X311" i="4"/>
  <c r="X260" i="4"/>
  <c r="X48" i="4"/>
  <c r="X76" i="4"/>
  <c r="X373" i="4"/>
  <c r="X253" i="4"/>
  <c r="X54" i="4"/>
  <c r="X307" i="4"/>
  <c r="X31" i="4"/>
  <c r="X146" i="4"/>
  <c r="X249" i="4"/>
  <c r="X66" i="4"/>
  <c r="X319" i="4"/>
  <c r="X3" i="4"/>
  <c r="X94" i="4"/>
  <c r="X300" i="4"/>
  <c r="X61" i="4"/>
  <c r="X95" i="4"/>
  <c r="X22" i="4"/>
  <c r="X80" i="4"/>
  <c r="X301" i="4"/>
  <c r="X55" i="4"/>
  <c r="X312" i="4"/>
  <c r="X23" i="4"/>
  <c r="X90" i="4"/>
  <c r="X263" i="4"/>
  <c r="X67" i="4"/>
  <c r="X320" i="4"/>
  <c r="X4" i="4"/>
  <c r="X96" i="4"/>
  <c r="X265" i="4"/>
  <c r="X56" i="4"/>
  <c r="X313" i="4"/>
  <c r="X18" i="4"/>
  <c r="X74" i="4"/>
  <c r="X380" i="4"/>
  <c r="X57" i="4"/>
  <c r="X97" i="4"/>
  <c r="X24" i="4"/>
  <c r="X69" i="4"/>
  <c r="X264" i="4"/>
  <c r="X374" i="4"/>
  <c r="X302" i="4"/>
  <c r="X68" i="4"/>
  <c r="X321" i="4"/>
  <c r="X378" i="4"/>
  <c r="X190" i="4"/>
  <c r="X30" i="4"/>
  <c r="X358" i="4"/>
  <c r="X359" i="4"/>
  <c r="X78" i="4"/>
  <c r="X303" i="4"/>
  <c r="X183" i="4"/>
  <c r="X75" i="4"/>
  <c r="X298" i="4"/>
  <c r="X40" i="4"/>
  <c r="X184" i="4"/>
  <c r="X28" i="4"/>
  <c r="X120" i="4"/>
  <c r="X121" i="4"/>
  <c r="X122" i="4"/>
  <c r="X123" i="4"/>
  <c r="X124" i="4"/>
  <c r="X70" i="4"/>
  <c r="X297" i="4"/>
  <c r="X77" i="4"/>
  <c r="X191" i="4"/>
  <c r="X29" i="4"/>
  <c r="X72" i="4"/>
  <c r="X299" i="4"/>
  <c r="X136" i="4"/>
  <c r="X185" i="4"/>
  <c r="X25" i="4"/>
  <c r="X5" i="4"/>
  <c r="X71" i="4"/>
  <c r="X296" i="4"/>
  <c r="X142" i="4"/>
  <c r="X192" i="4"/>
  <c r="X289" i="4"/>
  <c r="X73" i="4"/>
  <c r="X133" i="4"/>
  <c r="X186" i="4"/>
  <c r="X26" i="4"/>
  <c r="X377" i="4"/>
  <c r="X231" i="4"/>
  <c r="X278" i="4"/>
  <c r="X138" i="4"/>
  <c r="X13" i="4"/>
  <c r="X221" i="4"/>
  <c r="X266" i="4"/>
  <c r="X143" i="4"/>
  <c r="X193" i="4"/>
  <c r="X6" i="4"/>
  <c r="X209" i="4"/>
  <c r="X290" i="4"/>
  <c r="X137" i="4"/>
  <c r="X182" i="4"/>
  <c r="X134" i="4"/>
  <c r="X232" i="4"/>
  <c r="X279" i="4"/>
  <c r="X360" i="4"/>
  <c r="X170" i="4"/>
  <c r="X10" i="4"/>
  <c r="X222" i="4"/>
  <c r="X267" i="4"/>
  <c r="X368" i="4"/>
  <c r="X144" i="4"/>
  <c r="X7" i="4"/>
  <c r="X238" i="4"/>
  <c r="X291" i="4"/>
  <c r="X363" i="4"/>
  <c r="X141" i="4"/>
  <c r="X19" i="4"/>
  <c r="X240" i="4"/>
  <c r="X280" i="4"/>
  <c r="X364" i="4"/>
  <c r="X139" i="4"/>
  <c r="X11" i="4"/>
  <c r="X110" i="4"/>
  <c r="X111" i="4"/>
  <c r="X125" i="4"/>
  <c r="X126" i="4"/>
  <c r="X127" i="4"/>
  <c r="X223" i="4"/>
  <c r="X101" i="4"/>
  <c r="X268" i="4"/>
  <c r="X369" i="4"/>
  <c r="X100" i="4"/>
  <c r="X27" i="4"/>
  <c r="X241" i="4"/>
  <c r="X281" i="4"/>
  <c r="X365" i="4"/>
  <c r="X84" i="4"/>
  <c r="X14" i="4"/>
  <c r="X224" i="4"/>
  <c r="X269" i="4"/>
  <c r="X145" i="4"/>
  <c r="X211" i="4"/>
  <c r="X234" i="4"/>
  <c r="X361" i="4"/>
  <c r="X292" i="4"/>
  <c r="X160" i="4"/>
  <c r="X20" i="4"/>
  <c r="X242" i="4"/>
  <c r="X282" i="4"/>
  <c r="X366" i="4"/>
  <c r="X15" i="4"/>
  <c r="X155" i="4"/>
  <c r="X225" i="4"/>
  <c r="X270" i="4"/>
  <c r="X370" i="4"/>
  <c r="X165" i="4"/>
  <c r="X8" i="4"/>
  <c r="X243" i="4"/>
  <c r="X293" i="4"/>
  <c r="X367" i="4"/>
  <c r="X161" i="4"/>
  <c r="X21" i="4"/>
  <c r="X235" i="4"/>
  <c r="X283" i="4"/>
  <c r="X362" i="4"/>
  <c r="X151" i="4"/>
  <c r="X12" i="4"/>
  <c r="X226" i="4"/>
  <c r="X271" i="4"/>
  <c r="X371" i="4"/>
  <c r="X329" i="4"/>
  <c r="X166" i="4"/>
  <c r="X212" i="4"/>
  <c r="X9" i="4"/>
  <c r="X112" i="4"/>
  <c r="X113" i="4"/>
  <c r="X325" i="4"/>
  <c r="X206" i="4"/>
  <c r="X17" i="4"/>
  <c r="X149" i="4"/>
  <c r="X323" i="4"/>
  <c r="X244" i="4"/>
  <c r="X284" i="4"/>
  <c r="X85" i="4"/>
  <c r="X201" i="4"/>
  <c r="X227" i="4"/>
  <c r="X272" i="4"/>
  <c r="X330" i="4"/>
  <c r="X213" i="4"/>
  <c r="X147" i="4"/>
  <c r="X150" i="4"/>
  <c r="X207" i="4"/>
  <c r="X326" i="4"/>
  <c r="X285" i="4"/>
  <c r="X239" i="4"/>
  <c r="X33" i="4"/>
  <c r="X250" i="4"/>
  <c r="X169" i="4"/>
  <c r="X128" i="4"/>
  <c r="X258" i="4"/>
  <c r="X176" i="4"/>
  <c r="X41" i="4"/>
  <c r="X254" i="4"/>
  <c r="X174" i="4"/>
  <c r="X245" i="4"/>
  <c r="X79" i="4"/>
  <c r="X328" i="4"/>
  <c r="X202" i="4"/>
  <c r="X98" i="4"/>
  <c r="X228" i="4"/>
  <c r="X91" i="4"/>
  <c r="X331" i="4"/>
  <c r="X214" i="4"/>
  <c r="X92" i="4"/>
  <c r="X236" i="4"/>
  <c r="X86" i="4"/>
  <c r="X327" i="4"/>
  <c r="X210" i="4"/>
  <c r="X87" i="4"/>
  <c r="X246" i="4"/>
  <c r="X88" i="4"/>
  <c r="X315" i="4"/>
  <c r="X152" i="4"/>
  <c r="X339" i="4"/>
  <c r="X229" i="4"/>
  <c r="X375" i="4"/>
  <c r="X273" i="4"/>
  <c r="X322" i="4"/>
  <c r="X215" i="4"/>
  <c r="X343" i="4"/>
  <c r="X208" i="4"/>
  <c r="X353" i="4"/>
  <c r="X314" i="4"/>
  <c r="X294" i="4"/>
  <c r="X135" i="4"/>
  <c r="X58" i="4"/>
  <c r="X286" i="4"/>
  <c r="X187" i="4"/>
  <c r="X153" i="4"/>
  <c r="X348" i="4"/>
  <c r="X34" i="4"/>
  <c r="X274" i="4"/>
  <c r="X194" i="4"/>
  <c r="X216" i="4"/>
  <c r="X344" i="4"/>
  <c r="X42" i="4"/>
  <c r="X287" i="4"/>
  <c r="X177" i="4"/>
  <c r="X205" i="4"/>
  <c r="X354" i="4"/>
  <c r="X295" i="4"/>
  <c r="X349" i="4"/>
  <c r="X49" i="4"/>
  <c r="X188" i="4"/>
  <c r="X203" i="4"/>
  <c r="X102" i="4"/>
  <c r="X103" i="4"/>
  <c r="X195" i="4"/>
  <c r="X217" i="4"/>
  <c r="X104" i="4"/>
  <c r="X46" i="4"/>
  <c r="X114" i="4"/>
  <c r="X178" i="4"/>
  <c r="X115" i="4"/>
  <c r="X140" i="4"/>
  <c r="X43" i="4"/>
  <c r="X288" i="4"/>
  <c r="X175" i="4"/>
  <c r="X204" i="4"/>
  <c r="X324" i="4"/>
  <c r="X35" i="4"/>
  <c r="X36" i="4"/>
  <c r="X275" i="4"/>
  <c r="X196" i="4"/>
  <c r="X218" i="4"/>
  <c r="X345" i="4"/>
  <c r="X116" i="4"/>
  <c r="X129" i="4"/>
  <c r="X179" i="4"/>
  <c r="X156" i="4"/>
  <c r="X355" i="4"/>
  <c r="X39" i="4"/>
  <c r="X277" i="4"/>
  <c r="X171" i="4"/>
  <c r="X154" i="4"/>
  <c r="X340" i="4"/>
  <c r="X276" i="4"/>
  <c r="X197" i="4"/>
  <c r="X198" i="4"/>
  <c r="X335" i="4"/>
  <c r="X117" i="4"/>
  <c r="X259" i="4"/>
  <c r="X118" i="4"/>
  <c r="X157" i="4"/>
  <c r="X119" i="4"/>
  <c r="X44" i="4"/>
  <c r="X255" i="4"/>
  <c r="X189" i="4"/>
  <c r="X162" i="4"/>
  <c r="X350" i="4"/>
  <c r="X37" i="4"/>
  <c r="X251" i="4"/>
  <c r="X199" i="4"/>
  <c r="X167" i="4"/>
  <c r="X346" i="4"/>
  <c r="X130" i="4"/>
  <c r="X131" i="4"/>
  <c r="X180" i="4"/>
  <c r="X158" i="4"/>
  <c r="X132" i="4"/>
  <c r="X59" i="4"/>
  <c r="X256" i="4"/>
  <c r="X172" i="4"/>
  <c r="X163" i="4"/>
  <c r="X351" i="4"/>
  <c r="X38" i="4"/>
  <c r="X200" i="4"/>
  <c r="X252" i="4"/>
  <c r="X168" i="4"/>
  <c r="X347" i="4"/>
  <c r="X159" i="4"/>
  <c r="X50" i="4"/>
  <c r="X261" i="4"/>
  <c r="X181" i="4"/>
  <c r="X356" i="4"/>
  <c r="X60" i="4"/>
  <c r="X257" i="4"/>
  <c r="X173" i="4"/>
  <c r="X164" i="4"/>
  <c r="X352" i="4"/>
  <c r="Y219" i="4"/>
  <c r="Y81" i="4"/>
  <c r="Y99" i="4"/>
  <c r="Y62" i="4"/>
  <c r="Y316" i="4"/>
  <c r="Y332" i="4"/>
  <c r="Y308" i="4"/>
  <c r="Y341" i="4"/>
  <c r="Y47" i="4"/>
  <c r="Y237" i="4"/>
  <c r="Y93" i="4"/>
  <c r="Y230" i="4"/>
  <c r="Y82" i="4"/>
  <c r="Y51" i="4"/>
  <c r="Y304" i="4"/>
  <c r="Y336" i="4"/>
  <c r="Y83" i="4"/>
  <c r="Y220" i="4"/>
  <c r="Y63" i="4"/>
  <c r="Y379" i="4"/>
  <c r="Y333" i="4"/>
  <c r="Y233" i="4"/>
  <c r="Y105" i="4"/>
  <c r="Y106" i="4"/>
  <c r="Y309" i="4"/>
  <c r="Y342" i="4"/>
  <c r="Y376" i="4"/>
  <c r="Y52" i="4"/>
  <c r="Y148" i="4"/>
  <c r="Y305" i="4"/>
  <c r="Y337" i="4"/>
  <c r="Y89" i="4"/>
  <c r="Y247" i="4"/>
  <c r="Y64" i="4"/>
  <c r="Y317" i="4"/>
  <c r="Y334" i="4"/>
  <c r="Y107" i="4"/>
  <c r="Y108" i="4"/>
  <c r="Y45" i="4"/>
  <c r="Y109" i="4"/>
  <c r="Y310" i="4"/>
  <c r="Y32" i="4"/>
  <c r="Y262" i="4"/>
  <c r="Y53" i="4"/>
  <c r="Y306" i="4"/>
  <c r="Y338" i="4"/>
  <c r="Y372" i="4"/>
  <c r="Y357" i="4"/>
  <c r="Y248" i="4"/>
  <c r="Y65" i="4"/>
  <c r="Y318" i="4"/>
  <c r="Y2" i="4"/>
  <c r="Y16" i="4"/>
  <c r="Y311" i="4"/>
  <c r="Y260" i="4"/>
  <c r="Y48" i="4"/>
  <c r="Y76" i="4"/>
  <c r="Y373" i="4"/>
  <c r="Y253" i="4"/>
  <c r="Y54" i="4"/>
  <c r="Y307" i="4"/>
  <c r="Y31" i="4"/>
  <c r="Y146" i="4"/>
  <c r="Y249" i="4"/>
  <c r="Y66" i="4"/>
  <c r="Y319" i="4"/>
  <c r="Y3" i="4"/>
  <c r="Y94" i="4"/>
  <c r="Y300" i="4"/>
  <c r="Y61" i="4"/>
  <c r="Y95" i="4"/>
  <c r="Y22" i="4"/>
  <c r="Y80" i="4"/>
  <c r="Y301" i="4"/>
  <c r="Y55" i="4"/>
  <c r="Y312" i="4"/>
  <c r="Y23" i="4"/>
  <c r="Y90" i="4"/>
  <c r="Y263" i="4"/>
  <c r="Y67" i="4"/>
  <c r="Y320" i="4"/>
  <c r="Y4" i="4"/>
  <c r="Y96" i="4"/>
  <c r="Y265" i="4"/>
  <c r="Y56" i="4"/>
  <c r="Y313" i="4"/>
  <c r="Y18" i="4"/>
  <c r="Y74" i="4"/>
  <c r="Y380" i="4"/>
  <c r="Y57" i="4"/>
  <c r="Y97" i="4"/>
  <c r="Y24" i="4"/>
  <c r="Y69" i="4"/>
  <c r="Y264" i="4"/>
  <c r="Y374" i="4"/>
  <c r="Y302" i="4"/>
  <c r="Y68" i="4"/>
  <c r="Y321" i="4"/>
  <c r="Y378" i="4"/>
  <c r="Y190" i="4"/>
  <c r="Y30" i="4"/>
  <c r="Y358" i="4"/>
  <c r="Y359" i="4"/>
  <c r="Y78" i="4"/>
  <c r="Y303" i="4"/>
  <c r="Y183" i="4"/>
  <c r="Y75" i="4"/>
  <c r="Y298" i="4"/>
  <c r="Y40" i="4"/>
  <c r="Y184" i="4"/>
  <c r="Y28" i="4"/>
  <c r="Y120" i="4"/>
  <c r="Y121" i="4"/>
  <c r="Y122" i="4"/>
  <c r="Y123" i="4"/>
  <c r="Y124" i="4"/>
  <c r="Y70" i="4"/>
  <c r="Y297" i="4"/>
  <c r="Y77" i="4"/>
  <c r="Y191" i="4"/>
  <c r="Y29" i="4"/>
  <c r="Y72" i="4"/>
  <c r="Y299" i="4"/>
  <c r="Y136" i="4"/>
  <c r="Y185" i="4"/>
  <c r="Y25" i="4"/>
  <c r="Y5" i="4"/>
  <c r="Y71" i="4"/>
  <c r="Y296" i="4"/>
  <c r="Y142" i="4"/>
  <c r="Y192" i="4"/>
  <c r="Y289" i="4"/>
  <c r="Y73" i="4"/>
  <c r="Y133" i="4"/>
  <c r="Y186" i="4"/>
  <c r="Y26" i="4"/>
  <c r="Y377" i="4"/>
  <c r="Y231" i="4"/>
  <c r="Y278" i="4"/>
  <c r="Y138" i="4"/>
  <c r="Y13" i="4"/>
  <c r="Y221" i="4"/>
  <c r="Y266" i="4"/>
  <c r="Y143" i="4"/>
  <c r="Y193" i="4"/>
  <c r="Y6" i="4"/>
  <c r="Y209" i="4"/>
  <c r="Y290" i="4"/>
  <c r="Y137" i="4"/>
  <c r="Y182" i="4"/>
  <c r="Y134" i="4"/>
  <c r="Y232" i="4"/>
  <c r="Y279" i="4"/>
  <c r="Y360" i="4"/>
  <c r="Y170" i="4"/>
  <c r="Y10" i="4"/>
  <c r="Y222" i="4"/>
  <c r="Y267" i="4"/>
  <c r="Y368" i="4"/>
  <c r="Y144" i="4"/>
  <c r="Y7" i="4"/>
  <c r="Y238" i="4"/>
  <c r="Y291" i="4"/>
  <c r="Y363" i="4"/>
  <c r="Y141" i="4"/>
  <c r="Y19" i="4"/>
  <c r="Y240" i="4"/>
  <c r="Y280" i="4"/>
  <c r="Y364" i="4"/>
  <c r="Y139" i="4"/>
  <c r="Y11" i="4"/>
  <c r="Y110" i="4"/>
  <c r="Y111" i="4"/>
  <c r="Y125" i="4"/>
  <c r="Y126" i="4"/>
  <c r="Y127" i="4"/>
  <c r="Y223" i="4"/>
  <c r="Y101" i="4"/>
  <c r="Y268" i="4"/>
  <c r="Y369" i="4"/>
  <c r="Y100" i="4"/>
  <c r="Y27" i="4"/>
  <c r="Y241" i="4"/>
  <c r="Y281" i="4"/>
  <c r="Y365" i="4"/>
  <c r="Y84" i="4"/>
  <c r="Y14" i="4"/>
  <c r="Y224" i="4"/>
  <c r="Y269" i="4"/>
  <c r="Y145" i="4"/>
  <c r="Y211" i="4"/>
  <c r="Y234" i="4"/>
  <c r="Y361" i="4"/>
  <c r="Y292" i="4"/>
  <c r="Y160" i="4"/>
  <c r="Y20" i="4"/>
  <c r="Y242" i="4"/>
  <c r="Y282" i="4"/>
  <c r="Y366" i="4"/>
  <c r="Y15" i="4"/>
  <c r="Y155" i="4"/>
  <c r="Y225" i="4"/>
  <c r="Y270" i="4"/>
  <c r="Y370" i="4"/>
  <c r="Y165" i="4"/>
  <c r="Y8" i="4"/>
  <c r="Y243" i="4"/>
  <c r="Y293" i="4"/>
  <c r="Y367" i="4"/>
  <c r="Y161" i="4"/>
  <c r="Y21" i="4"/>
  <c r="Y235" i="4"/>
  <c r="Y283" i="4"/>
  <c r="Y362" i="4"/>
  <c r="Y151" i="4"/>
  <c r="Y12" i="4"/>
  <c r="Y226" i="4"/>
  <c r="Y271" i="4"/>
  <c r="Y371" i="4"/>
  <c r="Y329" i="4"/>
  <c r="Y166" i="4"/>
  <c r="Y212" i="4"/>
  <c r="Y9" i="4"/>
  <c r="Y112" i="4"/>
  <c r="Y113" i="4"/>
  <c r="Y325" i="4"/>
  <c r="Y206" i="4"/>
  <c r="Y17" i="4"/>
  <c r="Y149" i="4"/>
  <c r="Y323" i="4"/>
  <c r="Y244" i="4"/>
  <c r="Y284" i="4"/>
  <c r="Y85" i="4"/>
  <c r="Y201" i="4"/>
  <c r="Y227" i="4"/>
  <c r="Y272" i="4"/>
  <c r="Y330" i="4"/>
  <c r="Y213" i="4"/>
  <c r="Y147" i="4"/>
  <c r="Y150" i="4"/>
  <c r="Y207" i="4"/>
  <c r="Y326" i="4"/>
  <c r="Y285" i="4"/>
  <c r="Y239" i="4"/>
  <c r="Y33" i="4"/>
  <c r="Y250" i="4"/>
  <c r="Y169" i="4"/>
  <c r="Y128" i="4"/>
  <c r="Y258" i="4"/>
  <c r="Y176" i="4"/>
  <c r="Y41" i="4"/>
  <c r="Y254" i="4"/>
  <c r="Y174" i="4"/>
  <c r="Y245" i="4"/>
  <c r="Y79" i="4"/>
  <c r="Y328" i="4"/>
  <c r="Y202" i="4"/>
  <c r="Y98" i="4"/>
  <c r="Y228" i="4"/>
  <c r="Y91" i="4"/>
  <c r="Y331" i="4"/>
  <c r="Y214" i="4"/>
  <c r="Y92" i="4"/>
  <c r="Y236" i="4"/>
  <c r="Y86" i="4"/>
  <c r="Y327" i="4"/>
  <c r="Y210" i="4"/>
  <c r="Y87" i="4"/>
  <c r="Y246" i="4"/>
  <c r="Y88" i="4"/>
  <c r="Y315" i="4"/>
  <c r="Y152" i="4"/>
  <c r="Y339" i="4"/>
  <c r="Y229" i="4"/>
  <c r="Y375" i="4"/>
  <c r="Y273" i="4"/>
  <c r="Y322" i="4"/>
  <c r="Y215" i="4"/>
  <c r="Y343" i="4"/>
  <c r="Y208" i="4"/>
  <c r="Y353" i="4"/>
  <c r="Y314" i="4"/>
  <c r="Y294" i="4"/>
  <c r="Y135" i="4"/>
  <c r="Y58" i="4"/>
  <c r="Y286" i="4"/>
  <c r="Y187" i="4"/>
  <c r="Y153" i="4"/>
  <c r="Y348" i="4"/>
  <c r="Y34" i="4"/>
  <c r="Y274" i="4"/>
  <c r="Y194" i="4"/>
  <c r="Y216" i="4"/>
  <c r="Y344" i="4"/>
  <c r="Y42" i="4"/>
  <c r="Y287" i="4"/>
  <c r="Y177" i="4"/>
  <c r="Y205" i="4"/>
  <c r="Y354" i="4"/>
  <c r="Y295" i="4"/>
  <c r="Y349" i="4"/>
  <c r="Y49" i="4"/>
  <c r="Y188" i="4"/>
  <c r="Y203" i="4"/>
  <c r="Y102" i="4"/>
  <c r="Y103" i="4"/>
  <c r="Y195" i="4"/>
  <c r="Y217" i="4"/>
  <c r="Y104" i="4"/>
  <c r="Y46" i="4"/>
  <c r="Y114" i="4"/>
  <c r="Y178" i="4"/>
  <c r="Y115" i="4"/>
  <c r="Y140" i="4"/>
  <c r="Y43" i="4"/>
  <c r="Y288" i="4"/>
  <c r="Y175" i="4"/>
  <c r="Y204" i="4"/>
  <c r="Y324" i="4"/>
  <c r="Y35" i="4"/>
  <c r="Y36" i="4"/>
  <c r="Y275" i="4"/>
  <c r="Y196" i="4"/>
  <c r="Y218" i="4"/>
  <c r="Y345" i="4"/>
  <c r="Y116" i="4"/>
  <c r="Y129" i="4"/>
  <c r="Y179" i="4"/>
  <c r="Y156" i="4"/>
  <c r="Y355" i="4"/>
  <c r="Y39" i="4"/>
  <c r="Y277" i="4"/>
  <c r="Y171" i="4"/>
  <c r="Y154" i="4"/>
  <c r="Y340" i="4"/>
  <c r="Y276" i="4"/>
  <c r="Y197" i="4"/>
  <c r="Y198" i="4"/>
  <c r="Y335" i="4"/>
  <c r="Y117" i="4"/>
  <c r="Y259" i="4"/>
  <c r="Y118" i="4"/>
  <c r="Y157" i="4"/>
  <c r="Y119" i="4"/>
  <c r="Y44" i="4"/>
  <c r="Y255" i="4"/>
  <c r="Y189" i="4"/>
  <c r="Y162" i="4"/>
  <c r="Y350" i="4"/>
  <c r="Y37" i="4"/>
  <c r="Y251" i="4"/>
  <c r="Y199" i="4"/>
  <c r="Y167" i="4"/>
  <c r="Y346" i="4"/>
  <c r="Y130" i="4"/>
  <c r="Y131" i="4"/>
  <c r="Y180" i="4"/>
  <c r="Y158" i="4"/>
  <c r="Y132" i="4"/>
  <c r="Y59" i="4"/>
  <c r="Y256" i="4"/>
  <c r="Y172" i="4"/>
  <c r="Y163" i="4"/>
  <c r="Y351" i="4"/>
  <c r="Y38" i="4"/>
  <c r="Y200" i="4"/>
  <c r="Y252" i="4"/>
  <c r="Y168" i="4"/>
  <c r="Y347" i="4"/>
  <c r="Y159" i="4"/>
  <c r="Y50" i="4"/>
  <c r="Y261" i="4"/>
  <c r="Y181" i="4"/>
  <c r="Y356" i="4"/>
  <c r="Y60" i="4"/>
  <c r="Y257" i="4"/>
  <c r="Y173" i="4"/>
  <c r="Y164" i="4"/>
  <c r="Y352" i="4"/>
  <c r="E45" i="8"/>
  <c r="T219" i="4" l="1"/>
  <c r="S219" i="4"/>
  <c r="R219" i="4"/>
  <c r="U219" i="4" s="1"/>
  <c r="Q219" i="4"/>
  <c r="P219" i="4"/>
  <c r="W219" i="4" s="1"/>
  <c r="O219" i="4"/>
  <c r="N219" i="4"/>
  <c r="M219" i="4"/>
  <c r="F219" i="4"/>
  <c r="T81" i="4"/>
  <c r="S81" i="4"/>
  <c r="R81" i="4"/>
  <c r="U81" i="4" s="1"/>
  <c r="Q81" i="4"/>
  <c r="P81" i="4"/>
  <c r="W81" i="4" s="1"/>
  <c r="O81" i="4"/>
  <c r="N81" i="4"/>
  <c r="M81" i="4"/>
  <c r="F81" i="4"/>
  <c r="T99" i="4" l="1"/>
  <c r="S99" i="4"/>
  <c r="R99" i="4"/>
  <c r="U99" i="4" s="1"/>
  <c r="Q99" i="4"/>
  <c r="P99" i="4"/>
  <c r="W99" i="4" s="1"/>
  <c r="O99" i="4"/>
  <c r="N99" i="4"/>
  <c r="M99" i="4"/>
  <c r="F99" i="4"/>
  <c r="T62" i="4"/>
  <c r="S62" i="4"/>
  <c r="R62" i="4"/>
  <c r="U62" i="4" s="1"/>
  <c r="Q62" i="4"/>
  <c r="P62" i="4"/>
  <c r="W62" i="4" s="1"/>
  <c r="O62" i="4"/>
  <c r="N62" i="4"/>
  <c r="M62" i="4"/>
  <c r="F62" i="4"/>
  <c r="T316" i="4"/>
  <c r="S316" i="4"/>
  <c r="R316" i="4"/>
  <c r="U316" i="4" s="1"/>
  <c r="Q316" i="4"/>
  <c r="P316" i="4"/>
  <c r="W316" i="4" s="1"/>
  <c r="O316" i="4"/>
  <c r="N316" i="4"/>
  <c r="M316" i="4"/>
  <c r="F316" i="4"/>
  <c r="T332" i="4"/>
  <c r="S332" i="4"/>
  <c r="R332" i="4"/>
  <c r="U332" i="4" s="1"/>
  <c r="Q332" i="4"/>
  <c r="P332" i="4"/>
  <c r="W332" i="4" s="1"/>
  <c r="O332" i="4"/>
  <c r="N332" i="4"/>
  <c r="M332" i="4"/>
  <c r="F332" i="4"/>
  <c r="T308" i="4"/>
  <c r="S308" i="4"/>
  <c r="R308" i="4"/>
  <c r="U308" i="4" s="1"/>
  <c r="Q308" i="4"/>
  <c r="P308" i="4"/>
  <c r="W308" i="4" s="1"/>
  <c r="O308" i="4"/>
  <c r="N308" i="4"/>
  <c r="M308" i="4"/>
  <c r="F308" i="4"/>
  <c r="T341" i="4"/>
  <c r="S341" i="4"/>
  <c r="R341" i="4"/>
  <c r="U341" i="4" s="1"/>
  <c r="Q341" i="4"/>
  <c r="P341" i="4"/>
  <c r="W341" i="4" s="1"/>
  <c r="O341" i="4"/>
  <c r="N341" i="4"/>
  <c r="M341" i="4"/>
  <c r="F341" i="4"/>
  <c r="T47" i="4"/>
  <c r="S47" i="4"/>
  <c r="R47" i="4"/>
  <c r="U47" i="4" s="1"/>
  <c r="Q47" i="4"/>
  <c r="P47" i="4"/>
  <c r="W47" i="4" s="1"/>
  <c r="O47" i="4"/>
  <c r="N47" i="4"/>
  <c r="M47" i="4"/>
  <c r="F47" i="4"/>
  <c r="T237" i="4"/>
  <c r="S237" i="4"/>
  <c r="R237" i="4"/>
  <c r="U237" i="4" s="1"/>
  <c r="Q237" i="4"/>
  <c r="P237" i="4"/>
  <c r="W237" i="4" s="1"/>
  <c r="O237" i="4"/>
  <c r="N237" i="4"/>
  <c r="M237" i="4"/>
  <c r="F237" i="4"/>
  <c r="T93" i="4"/>
  <c r="S93" i="4"/>
  <c r="R93" i="4"/>
  <c r="U93" i="4" s="1"/>
  <c r="Q93" i="4"/>
  <c r="P93" i="4"/>
  <c r="W93" i="4" s="1"/>
  <c r="O93" i="4"/>
  <c r="N93" i="4"/>
  <c r="M93" i="4"/>
  <c r="F93" i="4"/>
  <c r="T230" i="4"/>
  <c r="S230" i="4"/>
  <c r="R230" i="4"/>
  <c r="U230" i="4" s="1"/>
  <c r="Q230" i="4"/>
  <c r="P230" i="4"/>
  <c r="W230" i="4" s="1"/>
  <c r="O230" i="4"/>
  <c r="N230" i="4"/>
  <c r="M230" i="4"/>
  <c r="F230" i="4"/>
  <c r="T82" i="4"/>
  <c r="S82" i="4"/>
  <c r="R82" i="4"/>
  <c r="U82" i="4" s="1"/>
  <c r="Q82" i="4"/>
  <c r="P82" i="4"/>
  <c r="W82" i="4" s="1"/>
  <c r="O82" i="4"/>
  <c r="N82" i="4"/>
  <c r="M82" i="4"/>
  <c r="F82" i="4"/>
  <c r="T51" i="4"/>
  <c r="S51" i="4"/>
  <c r="R51" i="4"/>
  <c r="U51" i="4" s="1"/>
  <c r="Q51" i="4"/>
  <c r="P51" i="4"/>
  <c r="W51" i="4" s="1"/>
  <c r="O51" i="4"/>
  <c r="N51" i="4"/>
  <c r="M51" i="4"/>
  <c r="F51" i="4"/>
  <c r="T304" i="4"/>
  <c r="S304" i="4"/>
  <c r="R304" i="4"/>
  <c r="U304" i="4" s="1"/>
  <c r="Q304" i="4"/>
  <c r="P304" i="4"/>
  <c r="W304" i="4" s="1"/>
  <c r="O304" i="4"/>
  <c r="N304" i="4"/>
  <c r="M304" i="4"/>
  <c r="F304" i="4"/>
  <c r="T336" i="4"/>
  <c r="S336" i="4"/>
  <c r="R336" i="4"/>
  <c r="U336" i="4" s="1"/>
  <c r="Q336" i="4"/>
  <c r="P336" i="4"/>
  <c r="W336" i="4" s="1"/>
  <c r="O336" i="4"/>
  <c r="N336" i="4"/>
  <c r="M336" i="4"/>
  <c r="F336" i="4"/>
  <c r="T83" i="4" l="1"/>
  <c r="S83" i="4"/>
  <c r="R83" i="4"/>
  <c r="U83" i="4" s="1"/>
  <c r="Q83" i="4"/>
  <c r="P83" i="4"/>
  <c r="W83" i="4" s="1"/>
  <c r="O83" i="4"/>
  <c r="N83" i="4"/>
  <c r="M83" i="4"/>
  <c r="F83" i="4"/>
  <c r="T220" i="4"/>
  <c r="S220" i="4"/>
  <c r="R220" i="4"/>
  <c r="U220" i="4" s="1"/>
  <c r="Q220" i="4"/>
  <c r="P220" i="4"/>
  <c r="W220" i="4" s="1"/>
  <c r="O220" i="4"/>
  <c r="N220" i="4"/>
  <c r="M220" i="4"/>
  <c r="F220" i="4"/>
  <c r="T63" i="4"/>
  <c r="S63" i="4"/>
  <c r="R63" i="4"/>
  <c r="U63" i="4" s="1"/>
  <c r="Q63" i="4"/>
  <c r="P63" i="4"/>
  <c r="W63" i="4" s="1"/>
  <c r="O63" i="4"/>
  <c r="N63" i="4"/>
  <c r="M63" i="4"/>
  <c r="F63" i="4"/>
  <c r="F4" i="6"/>
  <c r="T379" i="4"/>
  <c r="S379" i="4"/>
  <c r="R379" i="4"/>
  <c r="U379" i="4" s="1"/>
  <c r="Q379" i="4"/>
  <c r="P379" i="4"/>
  <c r="W379" i="4" s="1"/>
  <c r="O379" i="4"/>
  <c r="N379" i="4"/>
  <c r="M379" i="4"/>
  <c r="T333" i="4"/>
  <c r="S333" i="4"/>
  <c r="R333" i="4"/>
  <c r="U333" i="4" s="1"/>
  <c r="Q333" i="4"/>
  <c r="P333" i="4"/>
  <c r="W333" i="4" s="1"/>
  <c r="O333" i="4"/>
  <c r="N333" i="4"/>
  <c r="M333" i="4"/>
  <c r="F333" i="4"/>
  <c r="T233" i="4"/>
  <c r="S233" i="4"/>
  <c r="R233" i="4"/>
  <c r="U233" i="4" s="1"/>
  <c r="Q233" i="4"/>
  <c r="P233" i="4"/>
  <c r="W233" i="4" s="1"/>
  <c r="O233" i="4"/>
  <c r="N233" i="4"/>
  <c r="M233" i="4"/>
  <c r="F233" i="4"/>
  <c r="T105" i="4"/>
  <c r="S105" i="4"/>
  <c r="R105" i="4"/>
  <c r="U105" i="4" s="1"/>
  <c r="Q105" i="4"/>
  <c r="P105" i="4"/>
  <c r="W105" i="4" s="1"/>
  <c r="O105" i="4"/>
  <c r="N105" i="4"/>
  <c r="M105" i="4"/>
  <c r="F105" i="4"/>
  <c r="T106" i="4"/>
  <c r="S106" i="4"/>
  <c r="R106" i="4"/>
  <c r="U106" i="4" s="1"/>
  <c r="Q106" i="4"/>
  <c r="P106" i="4"/>
  <c r="W106" i="4" s="1"/>
  <c r="O106" i="4"/>
  <c r="N106" i="4"/>
  <c r="M106" i="4"/>
  <c r="F106" i="4"/>
  <c r="T309" i="4"/>
  <c r="S309" i="4"/>
  <c r="R309" i="4"/>
  <c r="U309" i="4" s="1"/>
  <c r="Q309" i="4"/>
  <c r="P309" i="4"/>
  <c r="W309" i="4" s="1"/>
  <c r="O309" i="4"/>
  <c r="N309" i="4"/>
  <c r="M309" i="4"/>
  <c r="F309" i="4"/>
  <c r="T342" i="4"/>
  <c r="S342" i="4"/>
  <c r="R342" i="4"/>
  <c r="U342" i="4" s="1"/>
  <c r="Q342" i="4"/>
  <c r="P342" i="4"/>
  <c r="W342" i="4" s="1"/>
  <c r="O342" i="4"/>
  <c r="N342" i="4"/>
  <c r="M342" i="4"/>
  <c r="F342" i="4"/>
  <c r="T376" i="4"/>
  <c r="S376" i="4"/>
  <c r="R376" i="4"/>
  <c r="U376" i="4" s="1"/>
  <c r="Q376" i="4"/>
  <c r="P376" i="4"/>
  <c r="W376" i="4" s="1"/>
  <c r="O376" i="4"/>
  <c r="N376" i="4"/>
  <c r="M376" i="4"/>
  <c r="F376" i="4"/>
  <c r="T52" i="4"/>
  <c r="S52" i="4"/>
  <c r="R52" i="4"/>
  <c r="U52" i="4" s="1"/>
  <c r="Q52" i="4"/>
  <c r="P52" i="4"/>
  <c r="W52" i="4" s="1"/>
  <c r="O52" i="4"/>
  <c r="N52" i="4"/>
  <c r="M52" i="4"/>
  <c r="F52" i="4"/>
  <c r="T148" i="4"/>
  <c r="S148" i="4"/>
  <c r="R148" i="4"/>
  <c r="U148" i="4" s="1"/>
  <c r="Q148" i="4"/>
  <c r="P148" i="4"/>
  <c r="W148" i="4" s="1"/>
  <c r="O148" i="4"/>
  <c r="N148" i="4"/>
  <c r="M148" i="4"/>
  <c r="F148" i="4"/>
  <c r="T305" i="4"/>
  <c r="S305" i="4"/>
  <c r="R305" i="4"/>
  <c r="U305" i="4" s="1"/>
  <c r="Q305" i="4"/>
  <c r="P305" i="4"/>
  <c r="W305" i="4" s="1"/>
  <c r="O305" i="4"/>
  <c r="N305" i="4"/>
  <c r="M305" i="4"/>
  <c r="F305" i="4"/>
  <c r="T337" i="4" l="1"/>
  <c r="S337" i="4"/>
  <c r="R337" i="4"/>
  <c r="U337" i="4" s="1"/>
  <c r="Q337" i="4"/>
  <c r="P337" i="4"/>
  <c r="W337" i="4" s="1"/>
  <c r="O337" i="4"/>
  <c r="N337" i="4"/>
  <c r="M337" i="4"/>
  <c r="F337" i="4"/>
  <c r="T89" i="4" l="1"/>
  <c r="S89" i="4"/>
  <c r="R89" i="4"/>
  <c r="U89" i="4" s="1"/>
  <c r="Q89" i="4"/>
  <c r="P89" i="4"/>
  <c r="W89" i="4" s="1"/>
  <c r="O89" i="4"/>
  <c r="N89" i="4"/>
  <c r="M89" i="4"/>
  <c r="F89" i="4"/>
  <c r="T247" i="4"/>
  <c r="S247" i="4"/>
  <c r="R247" i="4"/>
  <c r="U247" i="4" s="1"/>
  <c r="Q247" i="4"/>
  <c r="P247" i="4"/>
  <c r="W247" i="4" s="1"/>
  <c r="O247" i="4"/>
  <c r="N247" i="4"/>
  <c r="M247" i="4"/>
  <c r="F247" i="4"/>
  <c r="T64" i="4" l="1"/>
  <c r="S64" i="4"/>
  <c r="R64" i="4"/>
  <c r="U64" i="4" s="1"/>
  <c r="Q64" i="4"/>
  <c r="P64" i="4"/>
  <c r="W64" i="4" s="1"/>
  <c r="O64" i="4"/>
  <c r="N64" i="4"/>
  <c r="M64" i="4"/>
  <c r="F64" i="4"/>
  <c r="T317" i="4" l="1"/>
  <c r="S317" i="4"/>
  <c r="R317" i="4"/>
  <c r="U317" i="4" s="1"/>
  <c r="Q317" i="4"/>
  <c r="P317" i="4"/>
  <c r="W317" i="4" s="1"/>
  <c r="O317" i="4"/>
  <c r="N317" i="4"/>
  <c r="M317" i="4"/>
  <c r="F317" i="4"/>
  <c r="T334" i="4" l="1"/>
  <c r="S334" i="4"/>
  <c r="R334" i="4"/>
  <c r="U334" i="4" s="1"/>
  <c r="Q334" i="4"/>
  <c r="P334" i="4"/>
  <c r="W334" i="4" s="1"/>
  <c r="O334" i="4"/>
  <c r="N334" i="4"/>
  <c r="M334" i="4"/>
  <c r="F334" i="4"/>
  <c r="T107" i="4"/>
  <c r="S107" i="4"/>
  <c r="R107" i="4"/>
  <c r="U107" i="4" s="1"/>
  <c r="Q107" i="4"/>
  <c r="P107" i="4"/>
  <c r="W107" i="4" s="1"/>
  <c r="O107" i="4"/>
  <c r="N107" i="4"/>
  <c r="M107" i="4"/>
  <c r="F107" i="4"/>
  <c r="T108" i="4"/>
  <c r="S108" i="4"/>
  <c r="R108" i="4"/>
  <c r="U108" i="4" s="1"/>
  <c r="Q108" i="4"/>
  <c r="P108" i="4"/>
  <c r="W108" i="4" s="1"/>
  <c r="O108" i="4"/>
  <c r="N108" i="4"/>
  <c r="M108" i="4"/>
  <c r="F108" i="4"/>
  <c r="T45" i="4"/>
  <c r="S45" i="4"/>
  <c r="R45" i="4"/>
  <c r="U45" i="4" s="1"/>
  <c r="Q45" i="4"/>
  <c r="P45" i="4"/>
  <c r="W45" i="4" s="1"/>
  <c r="O45" i="4"/>
  <c r="N45" i="4"/>
  <c r="M45" i="4"/>
  <c r="F45" i="4"/>
  <c r="T109" i="4"/>
  <c r="S109" i="4"/>
  <c r="R109" i="4"/>
  <c r="U109" i="4" s="1"/>
  <c r="Q109" i="4"/>
  <c r="P109" i="4"/>
  <c r="W109" i="4" s="1"/>
  <c r="O109" i="4"/>
  <c r="N109" i="4"/>
  <c r="M109" i="4"/>
  <c r="F109" i="4"/>
  <c r="T310" i="4"/>
  <c r="S310" i="4"/>
  <c r="R310" i="4"/>
  <c r="U310" i="4" s="1"/>
  <c r="Q310" i="4"/>
  <c r="P310" i="4"/>
  <c r="W310" i="4" s="1"/>
  <c r="O310" i="4"/>
  <c r="N310" i="4"/>
  <c r="M310" i="4"/>
  <c r="F310" i="4"/>
  <c r="T32" i="4"/>
  <c r="S32" i="4"/>
  <c r="R32" i="4"/>
  <c r="U32" i="4" s="1"/>
  <c r="Q32" i="4"/>
  <c r="P32" i="4"/>
  <c r="W32" i="4" s="1"/>
  <c r="O32" i="4"/>
  <c r="N32" i="4"/>
  <c r="M32" i="4"/>
  <c r="F32" i="4"/>
  <c r="T262" i="4"/>
  <c r="S262" i="4"/>
  <c r="R262" i="4"/>
  <c r="U262" i="4" s="1"/>
  <c r="Q262" i="4"/>
  <c r="P262" i="4"/>
  <c r="W262" i="4" s="1"/>
  <c r="O262" i="4"/>
  <c r="N262" i="4"/>
  <c r="M262" i="4"/>
  <c r="F262" i="4"/>
  <c r="T53" i="4"/>
  <c r="S53" i="4"/>
  <c r="R53" i="4"/>
  <c r="U53" i="4" s="1"/>
  <c r="Q53" i="4"/>
  <c r="P53" i="4"/>
  <c r="W53" i="4" s="1"/>
  <c r="O53" i="4"/>
  <c r="N53" i="4"/>
  <c r="M53" i="4"/>
  <c r="F53" i="4"/>
  <c r="T306" i="4"/>
  <c r="S306" i="4"/>
  <c r="R306" i="4"/>
  <c r="U306" i="4" s="1"/>
  <c r="Q306" i="4"/>
  <c r="P306" i="4"/>
  <c r="W306" i="4" s="1"/>
  <c r="O306" i="4"/>
  <c r="N306" i="4"/>
  <c r="M306" i="4"/>
  <c r="F306" i="4"/>
  <c r="T338" i="4"/>
  <c r="S338" i="4"/>
  <c r="R338" i="4"/>
  <c r="U338" i="4" s="1"/>
  <c r="Q338" i="4"/>
  <c r="P338" i="4"/>
  <c r="W338" i="4" s="1"/>
  <c r="O338" i="4"/>
  <c r="N338" i="4"/>
  <c r="M338" i="4"/>
  <c r="F338" i="4"/>
  <c r="T372" i="4"/>
  <c r="S372" i="4"/>
  <c r="R372" i="4"/>
  <c r="U372" i="4" s="1"/>
  <c r="Q372" i="4"/>
  <c r="P372" i="4"/>
  <c r="W372" i="4" s="1"/>
  <c r="O372" i="4"/>
  <c r="N372" i="4"/>
  <c r="M372" i="4"/>
  <c r="F372" i="4"/>
  <c r="T357" i="4"/>
  <c r="S357" i="4"/>
  <c r="R357" i="4"/>
  <c r="U357" i="4" s="1"/>
  <c r="Q357" i="4"/>
  <c r="P357" i="4"/>
  <c r="W357" i="4" s="1"/>
  <c r="O357" i="4"/>
  <c r="N357" i="4"/>
  <c r="M357" i="4"/>
  <c r="F357" i="4"/>
  <c r="T248" i="4"/>
  <c r="S248" i="4"/>
  <c r="R248" i="4"/>
  <c r="U248" i="4" s="1"/>
  <c r="Q248" i="4"/>
  <c r="P248" i="4"/>
  <c r="W248" i="4" s="1"/>
  <c r="O248" i="4"/>
  <c r="N248" i="4"/>
  <c r="M248" i="4"/>
  <c r="F248" i="4"/>
  <c r="T65" i="4"/>
  <c r="S65" i="4"/>
  <c r="R65" i="4"/>
  <c r="U65" i="4" s="1"/>
  <c r="Q65" i="4"/>
  <c r="P65" i="4"/>
  <c r="W65" i="4" s="1"/>
  <c r="O65" i="4"/>
  <c r="N65" i="4"/>
  <c r="M65" i="4"/>
  <c r="F65" i="4"/>
  <c r="T318" i="4" l="1"/>
  <c r="S318" i="4"/>
  <c r="R318" i="4"/>
  <c r="U318" i="4" s="1"/>
  <c r="Q318" i="4"/>
  <c r="P318" i="4"/>
  <c r="W318" i="4" s="1"/>
  <c r="O318" i="4"/>
  <c r="N318" i="4"/>
  <c r="M318" i="4"/>
  <c r="F318" i="4"/>
  <c r="T2" i="4" l="1"/>
  <c r="S2" i="4"/>
  <c r="R2" i="4"/>
  <c r="U2" i="4" s="1"/>
  <c r="Q2" i="4"/>
  <c r="P2" i="4"/>
  <c r="W2" i="4" s="1"/>
  <c r="O2" i="4"/>
  <c r="N2" i="4"/>
  <c r="M2" i="4"/>
  <c r="F2" i="4"/>
  <c r="T16" i="4"/>
  <c r="S16" i="4"/>
  <c r="R16" i="4"/>
  <c r="U16" i="4" s="1"/>
  <c r="Q16" i="4"/>
  <c r="P16" i="4"/>
  <c r="W16" i="4" s="1"/>
  <c r="O16" i="4"/>
  <c r="N16" i="4"/>
  <c r="M16" i="4"/>
  <c r="F16" i="4"/>
  <c r="T311" i="4"/>
  <c r="S311" i="4"/>
  <c r="R311" i="4"/>
  <c r="U311" i="4" s="1"/>
  <c r="Q311" i="4"/>
  <c r="P311" i="4"/>
  <c r="W311" i="4" s="1"/>
  <c r="O311" i="4"/>
  <c r="N311" i="4"/>
  <c r="M311" i="4"/>
  <c r="F311" i="4"/>
  <c r="T260" i="4"/>
  <c r="S260" i="4"/>
  <c r="R260" i="4"/>
  <c r="U260" i="4" s="1"/>
  <c r="Q260" i="4"/>
  <c r="P260" i="4"/>
  <c r="W260" i="4" s="1"/>
  <c r="O260" i="4"/>
  <c r="N260" i="4"/>
  <c r="M260" i="4"/>
  <c r="F260" i="4"/>
  <c r="T48" i="4"/>
  <c r="S48" i="4"/>
  <c r="R48" i="4"/>
  <c r="U48" i="4" s="1"/>
  <c r="Q48" i="4"/>
  <c r="P48" i="4"/>
  <c r="W48" i="4" s="1"/>
  <c r="O48" i="4"/>
  <c r="N48" i="4"/>
  <c r="M48" i="4"/>
  <c r="F48" i="4"/>
  <c r="T76" i="4"/>
  <c r="S76" i="4"/>
  <c r="R76" i="4"/>
  <c r="U76" i="4" s="1"/>
  <c r="Q76" i="4"/>
  <c r="P76" i="4"/>
  <c r="W76" i="4" s="1"/>
  <c r="O76" i="4"/>
  <c r="N76" i="4"/>
  <c r="M76" i="4"/>
  <c r="F76" i="4"/>
  <c r="T373" i="4" l="1"/>
  <c r="S373" i="4"/>
  <c r="R373" i="4"/>
  <c r="U373" i="4" s="1"/>
  <c r="Q373" i="4"/>
  <c r="P373" i="4"/>
  <c r="W373" i="4" s="1"/>
  <c r="O373" i="4"/>
  <c r="N373" i="4"/>
  <c r="M373" i="4"/>
  <c r="F373" i="4"/>
  <c r="T253" i="4"/>
  <c r="S253" i="4"/>
  <c r="R253" i="4"/>
  <c r="U253" i="4" s="1"/>
  <c r="Q253" i="4"/>
  <c r="P253" i="4"/>
  <c r="W253" i="4" s="1"/>
  <c r="O253" i="4"/>
  <c r="N253" i="4"/>
  <c r="M253" i="4"/>
  <c r="F253" i="4"/>
  <c r="T54" i="4"/>
  <c r="S54" i="4"/>
  <c r="R54" i="4"/>
  <c r="U54" i="4" s="1"/>
  <c r="Q54" i="4"/>
  <c r="P54" i="4"/>
  <c r="W54" i="4" s="1"/>
  <c r="O54" i="4"/>
  <c r="N54" i="4"/>
  <c r="M54" i="4"/>
  <c r="F54" i="4"/>
  <c r="T307" i="4"/>
  <c r="S307" i="4"/>
  <c r="R307" i="4"/>
  <c r="U307" i="4" s="1"/>
  <c r="Q307" i="4"/>
  <c r="P307" i="4"/>
  <c r="W307" i="4" s="1"/>
  <c r="O307" i="4"/>
  <c r="N307" i="4"/>
  <c r="M307" i="4"/>
  <c r="F307" i="4"/>
  <c r="T31" i="4" l="1"/>
  <c r="S31" i="4"/>
  <c r="R31" i="4"/>
  <c r="U31" i="4" s="1"/>
  <c r="Q31" i="4"/>
  <c r="P31" i="4"/>
  <c r="W31" i="4" s="1"/>
  <c r="O31" i="4"/>
  <c r="N31" i="4"/>
  <c r="M31" i="4"/>
  <c r="F31" i="4"/>
  <c r="T146" i="4"/>
  <c r="S146" i="4"/>
  <c r="R146" i="4"/>
  <c r="U146" i="4" s="1"/>
  <c r="Q146" i="4"/>
  <c r="P146" i="4"/>
  <c r="W146" i="4" s="1"/>
  <c r="O146" i="4"/>
  <c r="N146" i="4"/>
  <c r="M146" i="4"/>
  <c r="F146" i="4"/>
  <c r="T249" i="4"/>
  <c r="S249" i="4"/>
  <c r="R249" i="4"/>
  <c r="U249" i="4" s="1"/>
  <c r="Q249" i="4"/>
  <c r="P249" i="4"/>
  <c r="W249" i="4" s="1"/>
  <c r="O249" i="4"/>
  <c r="N249" i="4"/>
  <c r="M249" i="4"/>
  <c r="F249" i="4"/>
  <c r="T66" i="4"/>
  <c r="S66" i="4"/>
  <c r="R66" i="4"/>
  <c r="U66" i="4" s="1"/>
  <c r="Q66" i="4"/>
  <c r="P66" i="4"/>
  <c r="W66" i="4" s="1"/>
  <c r="O66" i="4"/>
  <c r="N66" i="4"/>
  <c r="M66" i="4"/>
  <c r="F66" i="4"/>
  <c r="T319" i="4"/>
  <c r="S319" i="4"/>
  <c r="R319" i="4"/>
  <c r="U319" i="4" s="1"/>
  <c r="Q319" i="4"/>
  <c r="P319" i="4"/>
  <c r="W319" i="4" s="1"/>
  <c r="O319" i="4"/>
  <c r="N319" i="4"/>
  <c r="M319" i="4"/>
  <c r="F319" i="4"/>
  <c r="T3" i="4"/>
  <c r="S3" i="4"/>
  <c r="R3" i="4"/>
  <c r="U3" i="4" s="1"/>
  <c r="Q3" i="4"/>
  <c r="P3" i="4"/>
  <c r="W3" i="4" s="1"/>
  <c r="O3" i="4"/>
  <c r="N3" i="4"/>
  <c r="M3" i="4"/>
  <c r="F3" i="4"/>
  <c r="T94" i="4"/>
  <c r="S94" i="4"/>
  <c r="R94" i="4"/>
  <c r="U94" i="4" s="1"/>
  <c r="Q94" i="4"/>
  <c r="P94" i="4"/>
  <c r="W94" i="4" s="1"/>
  <c r="O94" i="4"/>
  <c r="N94" i="4"/>
  <c r="M94" i="4"/>
  <c r="F94" i="4"/>
  <c r="T300" i="4"/>
  <c r="S300" i="4"/>
  <c r="R300" i="4"/>
  <c r="U300" i="4" s="1"/>
  <c r="Q300" i="4"/>
  <c r="P300" i="4"/>
  <c r="W300" i="4" s="1"/>
  <c r="O300" i="4"/>
  <c r="N300" i="4"/>
  <c r="M300" i="4"/>
  <c r="F300" i="4"/>
  <c r="T61" i="4"/>
  <c r="S61" i="4"/>
  <c r="R61" i="4"/>
  <c r="U61" i="4" s="1"/>
  <c r="Q61" i="4"/>
  <c r="P61" i="4"/>
  <c r="W61" i="4" s="1"/>
  <c r="O61" i="4"/>
  <c r="N61" i="4"/>
  <c r="M61" i="4"/>
  <c r="F61" i="4"/>
  <c r="T95" i="4"/>
  <c r="S95" i="4"/>
  <c r="R95" i="4"/>
  <c r="U95" i="4" s="1"/>
  <c r="Q95" i="4"/>
  <c r="P95" i="4"/>
  <c r="W95" i="4" s="1"/>
  <c r="O95" i="4"/>
  <c r="N95" i="4"/>
  <c r="M95" i="4"/>
  <c r="F95" i="4"/>
  <c r="T22" i="4"/>
  <c r="S22" i="4"/>
  <c r="R22" i="4"/>
  <c r="U22" i="4" s="1"/>
  <c r="Q22" i="4"/>
  <c r="P22" i="4"/>
  <c r="W22" i="4" s="1"/>
  <c r="O22" i="4"/>
  <c r="N22" i="4"/>
  <c r="M22" i="4"/>
  <c r="F22" i="4"/>
  <c r="T80" i="4" l="1"/>
  <c r="S80" i="4"/>
  <c r="R80" i="4"/>
  <c r="U80" i="4" s="1"/>
  <c r="Q80" i="4"/>
  <c r="P80" i="4"/>
  <c r="W80" i="4" s="1"/>
  <c r="O80" i="4"/>
  <c r="N80" i="4"/>
  <c r="M80" i="4"/>
  <c r="T301" i="4" l="1"/>
  <c r="S301" i="4"/>
  <c r="R301" i="4"/>
  <c r="U301" i="4" s="1"/>
  <c r="Q301" i="4"/>
  <c r="P301" i="4"/>
  <c r="W301" i="4" s="1"/>
  <c r="O301" i="4"/>
  <c r="N301" i="4"/>
  <c r="M301" i="4"/>
  <c r="T55" i="4"/>
  <c r="S55" i="4"/>
  <c r="R55" i="4"/>
  <c r="U55" i="4" s="1"/>
  <c r="Q55" i="4"/>
  <c r="P55" i="4"/>
  <c r="W55" i="4" s="1"/>
  <c r="O55" i="4"/>
  <c r="N55" i="4"/>
  <c r="M55" i="4"/>
  <c r="T312" i="4"/>
  <c r="S312" i="4"/>
  <c r="R312" i="4"/>
  <c r="U312" i="4" s="1"/>
  <c r="Q312" i="4"/>
  <c r="P312" i="4"/>
  <c r="W312" i="4" s="1"/>
  <c r="O312" i="4"/>
  <c r="N312" i="4"/>
  <c r="M312" i="4"/>
  <c r="F312" i="4"/>
  <c r="T23" i="4"/>
  <c r="S23" i="4"/>
  <c r="R23" i="4"/>
  <c r="U23" i="4" s="1"/>
  <c r="Q23" i="4"/>
  <c r="P23" i="4"/>
  <c r="W23" i="4" s="1"/>
  <c r="O23" i="4"/>
  <c r="N23" i="4"/>
  <c r="M23" i="4"/>
  <c r="F23" i="4"/>
  <c r="T90" i="4"/>
  <c r="S90" i="4"/>
  <c r="R90" i="4"/>
  <c r="U90" i="4" s="1"/>
  <c r="Q90" i="4"/>
  <c r="P90" i="4"/>
  <c r="W90" i="4" s="1"/>
  <c r="O90" i="4"/>
  <c r="N90" i="4"/>
  <c r="M90" i="4"/>
  <c r="F90" i="4"/>
  <c r="T263" i="4"/>
  <c r="S263" i="4"/>
  <c r="R263" i="4"/>
  <c r="U263" i="4" s="1"/>
  <c r="Q263" i="4"/>
  <c r="P263" i="4"/>
  <c r="W263" i="4" s="1"/>
  <c r="O263" i="4"/>
  <c r="N263" i="4"/>
  <c r="M263" i="4"/>
  <c r="F263" i="4"/>
  <c r="T67" i="4" l="1"/>
  <c r="S67" i="4"/>
  <c r="R67" i="4"/>
  <c r="U67" i="4" s="1"/>
  <c r="Q67" i="4"/>
  <c r="P67" i="4"/>
  <c r="W67" i="4" s="1"/>
  <c r="O67" i="4"/>
  <c r="N67" i="4"/>
  <c r="M67" i="4"/>
  <c r="F67" i="4"/>
  <c r="T320" i="4"/>
  <c r="S320" i="4"/>
  <c r="R320" i="4"/>
  <c r="U320" i="4" s="1"/>
  <c r="Q320" i="4"/>
  <c r="P320" i="4"/>
  <c r="W320" i="4" s="1"/>
  <c r="O320" i="4"/>
  <c r="N320" i="4"/>
  <c r="M320" i="4"/>
  <c r="F320" i="4"/>
  <c r="T4" i="4"/>
  <c r="S4" i="4"/>
  <c r="R4" i="4"/>
  <c r="U4" i="4" s="1"/>
  <c r="Q4" i="4"/>
  <c r="P4" i="4"/>
  <c r="W4" i="4" s="1"/>
  <c r="O4" i="4"/>
  <c r="N4" i="4"/>
  <c r="M4" i="4"/>
  <c r="F4" i="4"/>
  <c r="T96" i="4"/>
  <c r="S96" i="4"/>
  <c r="R96" i="4"/>
  <c r="U96" i="4" s="1"/>
  <c r="Q96" i="4"/>
  <c r="P96" i="4"/>
  <c r="W96" i="4" s="1"/>
  <c r="O96" i="4"/>
  <c r="N96" i="4"/>
  <c r="M96" i="4"/>
  <c r="F96" i="4"/>
  <c r="T265" i="4"/>
  <c r="S265" i="4"/>
  <c r="R265" i="4"/>
  <c r="U265" i="4" s="1"/>
  <c r="Q265" i="4"/>
  <c r="P265" i="4"/>
  <c r="W265" i="4" s="1"/>
  <c r="O265" i="4"/>
  <c r="N265" i="4"/>
  <c r="M265" i="4"/>
  <c r="F265" i="4"/>
  <c r="T56" i="4"/>
  <c r="S56" i="4"/>
  <c r="R56" i="4"/>
  <c r="U56" i="4" s="1"/>
  <c r="Q56" i="4"/>
  <c r="P56" i="4"/>
  <c r="W56" i="4" s="1"/>
  <c r="O56" i="4"/>
  <c r="N56" i="4"/>
  <c r="M56" i="4"/>
  <c r="F56" i="4"/>
  <c r="T313" i="4"/>
  <c r="S313" i="4"/>
  <c r="R313" i="4"/>
  <c r="U313" i="4" s="1"/>
  <c r="Q313" i="4"/>
  <c r="P313" i="4"/>
  <c r="W313" i="4" s="1"/>
  <c r="O313" i="4"/>
  <c r="N313" i="4"/>
  <c r="M313" i="4"/>
  <c r="F313" i="4"/>
  <c r="T18" i="4"/>
  <c r="S18" i="4"/>
  <c r="R18" i="4"/>
  <c r="U18" i="4" s="1"/>
  <c r="Q18" i="4"/>
  <c r="P18" i="4"/>
  <c r="W18" i="4" s="1"/>
  <c r="O18" i="4"/>
  <c r="N18" i="4"/>
  <c r="M18" i="4"/>
  <c r="T74" i="4"/>
  <c r="S74" i="4"/>
  <c r="R74" i="4"/>
  <c r="U74" i="4" s="1"/>
  <c r="Q74" i="4"/>
  <c r="P74" i="4"/>
  <c r="W74" i="4" s="1"/>
  <c r="O74" i="4"/>
  <c r="N74" i="4"/>
  <c r="M74" i="4"/>
  <c r="F74" i="4"/>
  <c r="T380" i="4"/>
  <c r="S380" i="4"/>
  <c r="R380" i="4"/>
  <c r="U380" i="4" s="1"/>
  <c r="Q380" i="4"/>
  <c r="P380" i="4"/>
  <c r="W380" i="4" s="1"/>
  <c r="O380" i="4"/>
  <c r="N380" i="4"/>
  <c r="M380" i="4"/>
  <c r="F380" i="4"/>
  <c r="T57" i="4"/>
  <c r="S57" i="4"/>
  <c r="R57" i="4"/>
  <c r="U57" i="4" s="1"/>
  <c r="Q57" i="4"/>
  <c r="P57" i="4"/>
  <c r="W57" i="4" s="1"/>
  <c r="O57" i="4"/>
  <c r="N57" i="4"/>
  <c r="M57" i="4"/>
  <c r="F57" i="4"/>
  <c r="T97" i="4"/>
  <c r="S97" i="4"/>
  <c r="R97" i="4"/>
  <c r="U97" i="4" s="1"/>
  <c r="Q97" i="4"/>
  <c r="P97" i="4"/>
  <c r="W97" i="4" s="1"/>
  <c r="O97" i="4"/>
  <c r="N97" i="4"/>
  <c r="M97" i="4"/>
  <c r="F97" i="4"/>
  <c r="T24" i="4" l="1"/>
  <c r="S24" i="4"/>
  <c r="R24" i="4"/>
  <c r="U24" i="4" s="1"/>
  <c r="Q24" i="4"/>
  <c r="P24" i="4"/>
  <c r="W24" i="4" s="1"/>
  <c r="O24" i="4"/>
  <c r="N24" i="4"/>
  <c r="M24" i="4"/>
  <c r="F24" i="4"/>
  <c r="T69" i="4"/>
  <c r="S69" i="4"/>
  <c r="R69" i="4"/>
  <c r="U69" i="4" s="1"/>
  <c r="Q69" i="4"/>
  <c r="P69" i="4"/>
  <c r="W69" i="4" s="1"/>
  <c r="O69" i="4"/>
  <c r="N69" i="4"/>
  <c r="M69" i="4"/>
  <c r="F69" i="4"/>
  <c r="T264" i="4"/>
  <c r="S264" i="4"/>
  <c r="R264" i="4"/>
  <c r="U264" i="4" s="1"/>
  <c r="Q264" i="4"/>
  <c r="P264" i="4"/>
  <c r="W264" i="4" s="1"/>
  <c r="O264" i="4"/>
  <c r="N264" i="4"/>
  <c r="M264" i="4"/>
  <c r="F264" i="4"/>
  <c r="T374" i="4"/>
  <c r="S374" i="4"/>
  <c r="R374" i="4"/>
  <c r="U374" i="4" s="1"/>
  <c r="Q374" i="4"/>
  <c r="P374" i="4"/>
  <c r="W374" i="4" s="1"/>
  <c r="O374" i="4"/>
  <c r="N374" i="4"/>
  <c r="M374" i="4"/>
  <c r="F374" i="4"/>
  <c r="T302" i="4"/>
  <c r="S302" i="4"/>
  <c r="R302" i="4"/>
  <c r="U302" i="4" s="1"/>
  <c r="Q302" i="4"/>
  <c r="P302" i="4"/>
  <c r="W302" i="4" s="1"/>
  <c r="O302" i="4"/>
  <c r="N302" i="4"/>
  <c r="M302" i="4"/>
  <c r="F302" i="4"/>
  <c r="T68" i="4"/>
  <c r="S68" i="4"/>
  <c r="R68" i="4"/>
  <c r="U68" i="4" s="1"/>
  <c r="Q68" i="4"/>
  <c r="P68" i="4"/>
  <c r="W68" i="4" s="1"/>
  <c r="O68" i="4"/>
  <c r="N68" i="4"/>
  <c r="M68" i="4"/>
  <c r="F68" i="4"/>
  <c r="T321" i="4"/>
  <c r="S321" i="4"/>
  <c r="R321" i="4"/>
  <c r="U321" i="4" s="1"/>
  <c r="Q321" i="4"/>
  <c r="P321" i="4"/>
  <c r="W321" i="4" s="1"/>
  <c r="O321" i="4"/>
  <c r="N321" i="4"/>
  <c r="M321" i="4"/>
  <c r="F321" i="4"/>
  <c r="T378" i="4"/>
  <c r="S378" i="4"/>
  <c r="R378" i="4"/>
  <c r="U378" i="4" s="1"/>
  <c r="Q378" i="4"/>
  <c r="P378" i="4"/>
  <c r="W378" i="4" s="1"/>
  <c r="O378" i="4"/>
  <c r="N378" i="4"/>
  <c r="M378" i="4"/>
  <c r="F378" i="4"/>
  <c r="T190" i="4"/>
  <c r="S190" i="4"/>
  <c r="R190" i="4"/>
  <c r="U190" i="4" s="1"/>
  <c r="Q190" i="4"/>
  <c r="P190" i="4"/>
  <c r="W190" i="4" s="1"/>
  <c r="O190" i="4"/>
  <c r="N190" i="4"/>
  <c r="M190" i="4"/>
  <c r="F190" i="4"/>
  <c r="T30" i="4"/>
  <c r="S30" i="4"/>
  <c r="R30" i="4"/>
  <c r="U30" i="4" s="1"/>
  <c r="Q30" i="4"/>
  <c r="P30" i="4"/>
  <c r="W30" i="4" s="1"/>
  <c r="O30" i="4"/>
  <c r="N30" i="4"/>
  <c r="M30" i="4"/>
  <c r="F30" i="4"/>
  <c r="T358" i="4" l="1"/>
  <c r="S358" i="4"/>
  <c r="R358" i="4"/>
  <c r="U358" i="4" s="1"/>
  <c r="Q358" i="4"/>
  <c r="P358" i="4"/>
  <c r="W358" i="4" s="1"/>
  <c r="O358" i="4"/>
  <c r="N358" i="4"/>
  <c r="M358" i="4"/>
  <c r="F358" i="4"/>
  <c r="T359" i="4"/>
  <c r="S359" i="4"/>
  <c r="R359" i="4"/>
  <c r="U359" i="4" s="1"/>
  <c r="Q359" i="4"/>
  <c r="P359" i="4"/>
  <c r="W359" i="4" s="1"/>
  <c r="O359" i="4"/>
  <c r="N359" i="4"/>
  <c r="M359" i="4"/>
  <c r="F359" i="4"/>
  <c r="T78" i="4"/>
  <c r="S78" i="4"/>
  <c r="R78" i="4"/>
  <c r="U78" i="4" s="1"/>
  <c r="Q78" i="4"/>
  <c r="P78" i="4"/>
  <c r="W78" i="4" s="1"/>
  <c r="O78" i="4"/>
  <c r="N78" i="4"/>
  <c r="M78" i="4"/>
  <c r="F78" i="4"/>
  <c r="T303" i="4"/>
  <c r="S303" i="4"/>
  <c r="R303" i="4"/>
  <c r="U303" i="4" s="1"/>
  <c r="Q303" i="4"/>
  <c r="P303" i="4"/>
  <c r="W303" i="4" s="1"/>
  <c r="O303" i="4"/>
  <c r="N303" i="4"/>
  <c r="M303" i="4"/>
  <c r="F303" i="4"/>
  <c r="T183" i="4"/>
  <c r="S183" i="4"/>
  <c r="R183" i="4"/>
  <c r="U183" i="4" s="1"/>
  <c r="Q183" i="4"/>
  <c r="P183" i="4"/>
  <c r="W183" i="4" s="1"/>
  <c r="O183" i="4"/>
  <c r="N183" i="4"/>
  <c r="M183" i="4"/>
  <c r="F183" i="4"/>
  <c r="T75" i="4"/>
  <c r="S75" i="4"/>
  <c r="R75" i="4"/>
  <c r="U75" i="4" s="1"/>
  <c r="Q75" i="4"/>
  <c r="P75" i="4"/>
  <c r="W75" i="4" s="1"/>
  <c r="O75" i="4"/>
  <c r="N75" i="4"/>
  <c r="M75" i="4"/>
  <c r="F75" i="4"/>
  <c r="T298" i="4"/>
  <c r="S298" i="4"/>
  <c r="R298" i="4"/>
  <c r="U298" i="4" s="1"/>
  <c r="Q298" i="4"/>
  <c r="P298" i="4"/>
  <c r="W298" i="4" s="1"/>
  <c r="O298" i="4"/>
  <c r="N298" i="4"/>
  <c r="M298" i="4"/>
  <c r="F298" i="4"/>
  <c r="T40" i="4"/>
  <c r="S40" i="4"/>
  <c r="R40" i="4"/>
  <c r="U40" i="4" s="1"/>
  <c r="Q40" i="4"/>
  <c r="P40" i="4"/>
  <c r="W40" i="4" s="1"/>
  <c r="O40" i="4"/>
  <c r="N40" i="4"/>
  <c r="M40" i="4"/>
  <c r="F40" i="4"/>
  <c r="T184" i="4"/>
  <c r="S184" i="4"/>
  <c r="R184" i="4"/>
  <c r="U184" i="4" s="1"/>
  <c r="Q184" i="4"/>
  <c r="P184" i="4"/>
  <c r="W184" i="4" s="1"/>
  <c r="O184" i="4"/>
  <c r="N184" i="4"/>
  <c r="M184" i="4"/>
  <c r="F184" i="4"/>
  <c r="T28" i="4"/>
  <c r="S28" i="4"/>
  <c r="R28" i="4"/>
  <c r="U28" i="4" s="1"/>
  <c r="Q28" i="4"/>
  <c r="P28" i="4"/>
  <c r="W28" i="4" s="1"/>
  <c r="O28" i="4"/>
  <c r="N28" i="4"/>
  <c r="M28" i="4"/>
  <c r="F28" i="4"/>
  <c r="T120" i="4"/>
  <c r="S120" i="4"/>
  <c r="R120" i="4"/>
  <c r="U120" i="4" s="1"/>
  <c r="Q120" i="4"/>
  <c r="P120" i="4"/>
  <c r="W120" i="4" s="1"/>
  <c r="O120" i="4"/>
  <c r="N120" i="4"/>
  <c r="M120" i="4"/>
  <c r="F120" i="4"/>
  <c r="T121" i="4" l="1"/>
  <c r="S121" i="4"/>
  <c r="R121" i="4"/>
  <c r="U121" i="4" s="1"/>
  <c r="Q121" i="4"/>
  <c r="P121" i="4"/>
  <c r="W121" i="4" s="1"/>
  <c r="O121" i="4"/>
  <c r="N121" i="4"/>
  <c r="M121" i="4"/>
  <c r="F121" i="4"/>
  <c r="T122" i="4"/>
  <c r="S122" i="4"/>
  <c r="R122" i="4"/>
  <c r="U122" i="4" s="1"/>
  <c r="Q122" i="4"/>
  <c r="P122" i="4"/>
  <c r="W122" i="4" s="1"/>
  <c r="O122" i="4"/>
  <c r="N122" i="4"/>
  <c r="M122" i="4"/>
  <c r="F122" i="4"/>
  <c r="T123" i="4"/>
  <c r="S123" i="4"/>
  <c r="R123" i="4"/>
  <c r="U123" i="4" s="1"/>
  <c r="Q123" i="4"/>
  <c r="P123" i="4"/>
  <c r="W123" i="4" s="1"/>
  <c r="O123" i="4"/>
  <c r="N123" i="4"/>
  <c r="M123" i="4"/>
  <c r="F123" i="4"/>
  <c r="T124" i="4" l="1"/>
  <c r="S124" i="4"/>
  <c r="R124" i="4"/>
  <c r="U124" i="4" s="1"/>
  <c r="Q124" i="4"/>
  <c r="P124" i="4"/>
  <c r="W124" i="4" s="1"/>
  <c r="O124" i="4"/>
  <c r="N124" i="4"/>
  <c r="M124" i="4"/>
  <c r="F124" i="4"/>
  <c r="T70" i="4"/>
  <c r="S70" i="4"/>
  <c r="R70" i="4"/>
  <c r="U70" i="4" s="1"/>
  <c r="Q70" i="4"/>
  <c r="P70" i="4"/>
  <c r="W70" i="4" s="1"/>
  <c r="O70" i="4"/>
  <c r="N70" i="4"/>
  <c r="M70" i="4"/>
  <c r="F70" i="4"/>
  <c r="T297" i="4"/>
  <c r="S297" i="4"/>
  <c r="R297" i="4"/>
  <c r="U297" i="4" s="1"/>
  <c r="Q297" i="4"/>
  <c r="P297" i="4"/>
  <c r="W297" i="4" s="1"/>
  <c r="O297" i="4"/>
  <c r="N297" i="4"/>
  <c r="M297" i="4"/>
  <c r="F297" i="4"/>
  <c r="T77" i="4" l="1"/>
  <c r="S77" i="4"/>
  <c r="R77" i="4"/>
  <c r="U77" i="4" s="1"/>
  <c r="Q77" i="4"/>
  <c r="P77" i="4"/>
  <c r="W77" i="4" s="1"/>
  <c r="O77" i="4"/>
  <c r="N77" i="4"/>
  <c r="M77" i="4"/>
  <c r="F77" i="4"/>
  <c r="T191" i="4"/>
  <c r="S191" i="4"/>
  <c r="R191" i="4"/>
  <c r="U191" i="4" s="1"/>
  <c r="Q191" i="4"/>
  <c r="P191" i="4"/>
  <c r="W191" i="4" s="1"/>
  <c r="O191" i="4"/>
  <c r="N191" i="4"/>
  <c r="M191" i="4"/>
  <c r="F191" i="4"/>
  <c r="T29" i="4"/>
  <c r="S29" i="4"/>
  <c r="R29" i="4"/>
  <c r="U29" i="4" s="1"/>
  <c r="Q29" i="4"/>
  <c r="P29" i="4"/>
  <c r="W29" i="4" s="1"/>
  <c r="O29" i="4"/>
  <c r="N29" i="4"/>
  <c r="M29" i="4"/>
  <c r="F29" i="4"/>
  <c r="T72" i="4"/>
  <c r="S72" i="4"/>
  <c r="R72" i="4"/>
  <c r="U72" i="4" s="1"/>
  <c r="Q72" i="4"/>
  <c r="P72" i="4"/>
  <c r="W72" i="4" s="1"/>
  <c r="O72" i="4"/>
  <c r="N72" i="4"/>
  <c r="M72" i="4"/>
  <c r="F72" i="4"/>
  <c r="T299" i="4"/>
  <c r="S299" i="4"/>
  <c r="R299" i="4"/>
  <c r="U299" i="4" s="1"/>
  <c r="Q299" i="4"/>
  <c r="P299" i="4"/>
  <c r="W299" i="4" s="1"/>
  <c r="O299" i="4"/>
  <c r="N299" i="4"/>
  <c r="M299" i="4"/>
  <c r="F299" i="4"/>
  <c r="T136" i="4"/>
  <c r="S136" i="4"/>
  <c r="R136" i="4"/>
  <c r="U136" i="4" s="1"/>
  <c r="Q136" i="4"/>
  <c r="P136" i="4"/>
  <c r="W136" i="4" s="1"/>
  <c r="O136" i="4"/>
  <c r="N136" i="4"/>
  <c r="M136" i="4"/>
  <c r="F136" i="4"/>
  <c r="T185" i="4"/>
  <c r="S185" i="4"/>
  <c r="R185" i="4"/>
  <c r="U185" i="4" s="1"/>
  <c r="Q185" i="4"/>
  <c r="P185" i="4"/>
  <c r="W185" i="4" s="1"/>
  <c r="O185" i="4"/>
  <c r="N185" i="4"/>
  <c r="M185" i="4"/>
  <c r="F185" i="4"/>
  <c r="T25" i="4"/>
  <c r="S25" i="4"/>
  <c r="R25" i="4"/>
  <c r="U25" i="4" s="1"/>
  <c r="Q25" i="4"/>
  <c r="P25" i="4"/>
  <c r="W25" i="4" s="1"/>
  <c r="O25" i="4"/>
  <c r="N25" i="4"/>
  <c r="M25" i="4"/>
  <c r="F25" i="4"/>
  <c r="T5" i="4"/>
  <c r="S5" i="4"/>
  <c r="R5" i="4"/>
  <c r="U5" i="4" s="1"/>
  <c r="Q5" i="4"/>
  <c r="P5" i="4"/>
  <c r="W5" i="4" s="1"/>
  <c r="O5" i="4"/>
  <c r="N5" i="4"/>
  <c r="M5" i="4"/>
  <c r="F5" i="4"/>
  <c r="T71" i="4" l="1"/>
  <c r="S71" i="4"/>
  <c r="R71" i="4"/>
  <c r="U71" i="4" s="1"/>
  <c r="Q71" i="4"/>
  <c r="P71" i="4"/>
  <c r="W71" i="4" s="1"/>
  <c r="O71" i="4"/>
  <c r="N71" i="4"/>
  <c r="M71" i="4"/>
  <c r="F71" i="4"/>
  <c r="T296" i="4"/>
  <c r="S296" i="4"/>
  <c r="R296" i="4"/>
  <c r="U296" i="4" s="1"/>
  <c r="Q296" i="4"/>
  <c r="P296" i="4"/>
  <c r="W296" i="4" s="1"/>
  <c r="O296" i="4"/>
  <c r="N296" i="4"/>
  <c r="M296" i="4"/>
  <c r="F296" i="4"/>
  <c r="T142" i="4"/>
  <c r="S142" i="4"/>
  <c r="R142" i="4"/>
  <c r="U142" i="4" s="1"/>
  <c r="Q142" i="4"/>
  <c r="P142" i="4"/>
  <c r="W142" i="4" s="1"/>
  <c r="O142" i="4"/>
  <c r="N142" i="4"/>
  <c r="M142" i="4"/>
  <c r="F142" i="4"/>
  <c r="T192" i="4"/>
  <c r="S192" i="4"/>
  <c r="R192" i="4"/>
  <c r="U192" i="4" s="1"/>
  <c r="Q192" i="4"/>
  <c r="P192" i="4"/>
  <c r="W192" i="4" s="1"/>
  <c r="O192" i="4"/>
  <c r="N192" i="4"/>
  <c r="M192" i="4"/>
  <c r="F192" i="4"/>
  <c r="T289" i="4" l="1"/>
  <c r="S289" i="4"/>
  <c r="R289" i="4"/>
  <c r="U289" i="4" s="1"/>
  <c r="Q289" i="4"/>
  <c r="P289" i="4"/>
  <c r="W289" i="4" s="1"/>
  <c r="O289" i="4"/>
  <c r="N289" i="4"/>
  <c r="M289" i="4"/>
  <c r="F289" i="4"/>
  <c r="T73" i="4"/>
  <c r="S73" i="4"/>
  <c r="R73" i="4"/>
  <c r="U73" i="4" s="1"/>
  <c r="Q73" i="4"/>
  <c r="P73" i="4"/>
  <c r="W73" i="4" s="1"/>
  <c r="O73" i="4"/>
  <c r="N73" i="4"/>
  <c r="M73" i="4"/>
  <c r="F73" i="4"/>
  <c r="T133" i="4" l="1"/>
  <c r="S133" i="4"/>
  <c r="R133" i="4"/>
  <c r="U133" i="4" s="1"/>
  <c r="Q133" i="4"/>
  <c r="P133" i="4"/>
  <c r="W133" i="4" s="1"/>
  <c r="O133" i="4"/>
  <c r="N133" i="4"/>
  <c r="M133" i="4"/>
  <c r="F133" i="4"/>
  <c r="T186" i="4"/>
  <c r="S186" i="4"/>
  <c r="R186" i="4"/>
  <c r="U186" i="4" s="1"/>
  <c r="Q186" i="4"/>
  <c r="P186" i="4"/>
  <c r="W186" i="4" s="1"/>
  <c r="O186" i="4"/>
  <c r="N186" i="4"/>
  <c r="M186" i="4"/>
  <c r="F186" i="4"/>
  <c r="T26" i="4"/>
  <c r="S26" i="4"/>
  <c r="R26" i="4"/>
  <c r="U26" i="4" s="1"/>
  <c r="Q26" i="4"/>
  <c r="P26" i="4"/>
  <c r="W26" i="4" s="1"/>
  <c r="O26" i="4"/>
  <c r="N26" i="4"/>
  <c r="M26" i="4"/>
  <c r="F26" i="4"/>
  <c r="T377" i="4"/>
  <c r="S377" i="4"/>
  <c r="R377" i="4"/>
  <c r="U377" i="4" s="1"/>
  <c r="Q377" i="4"/>
  <c r="P377" i="4"/>
  <c r="W377" i="4" s="1"/>
  <c r="O377" i="4"/>
  <c r="N377" i="4"/>
  <c r="M377" i="4"/>
  <c r="F377" i="4"/>
  <c r="T231" i="4"/>
  <c r="S231" i="4"/>
  <c r="R231" i="4"/>
  <c r="U231" i="4" s="1"/>
  <c r="Q231" i="4"/>
  <c r="P231" i="4"/>
  <c r="W231" i="4" s="1"/>
  <c r="O231" i="4"/>
  <c r="N231" i="4"/>
  <c r="M231" i="4"/>
  <c r="F231" i="4"/>
  <c r="T278" i="4"/>
  <c r="S278" i="4"/>
  <c r="R278" i="4"/>
  <c r="U278" i="4" s="1"/>
  <c r="Q278" i="4"/>
  <c r="P278" i="4"/>
  <c r="W278" i="4" s="1"/>
  <c r="O278" i="4"/>
  <c r="N278" i="4"/>
  <c r="M278" i="4"/>
  <c r="F278" i="4"/>
  <c r="T138" i="4"/>
  <c r="S138" i="4"/>
  <c r="R138" i="4"/>
  <c r="U138" i="4" s="1"/>
  <c r="Q138" i="4"/>
  <c r="P138" i="4"/>
  <c r="W138" i="4" s="1"/>
  <c r="O138" i="4"/>
  <c r="N138" i="4"/>
  <c r="M138" i="4"/>
  <c r="F138" i="4"/>
  <c r="T13" i="4" l="1"/>
  <c r="S13" i="4"/>
  <c r="R13" i="4"/>
  <c r="U13" i="4" s="1"/>
  <c r="Q13" i="4"/>
  <c r="P13" i="4"/>
  <c r="W13" i="4" s="1"/>
  <c r="O13" i="4"/>
  <c r="N13" i="4"/>
  <c r="M13" i="4"/>
  <c r="F13" i="4"/>
  <c r="T221" i="4"/>
  <c r="S221" i="4"/>
  <c r="R221" i="4"/>
  <c r="U221" i="4" s="1"/>
  <c r="Q221" i="4"/>
  <c r="P221" i="4"/>
  <c r="W221" i="4" s="1"/>
  <c r="O221" i="4"/>
  <c r="N221" i="4"/>
  <c r="M221" i="4"/>
  <c r="F221" i="4"/>
  <c r="T266" i="4" l="1"/>
  <c r="S266" i="4"/>
  <c r="R266" i="4"/>
  <c r="U266" i="4" s="1"/>
  <c r="Q266" i="4"/>
  <c r="P266" i="4"/>
  <c r="W266" i="4" s="1"/>
  <c r="O266" i="4"/>
  <c r="N266" i="4"/>
  <c r="M266" i="4"/>
  <c r="F266" i="4"/>
  <c r="T143" i="4"/>
  <c r="S143" i="4"/>
  <c r="R143" i="4"/>
  <c r="U143" i="4" s="1"/>
  <c r="Q143" i="4"/>
  <c r="P143" i="4"/>
  <c r="W143" i="4" s="1"/>
  <c r="O143" i="4"/>
  <c r="N143" i="4"/>
  <c r="M143" i="4"/>
  <c r="F143" i="4"/>
  <c r="T193" i="4"/>
  <c r="S193" i="4"/>
  <c r="R193" i="4"/>
  <c r="U193" i="4" s="1"/>
  <c r="Q193" i="4"/>
  <c r="P193" i="4"/>
  <c r="W193" i="4" s="1"/>
  <c r="O193" i="4"/>
  <c r="N193" i="4"/>
  <c r="M193" i="4"/>
  <c r="F193" i="4"/>
  <c r="T6" i="4"/>
  <c r="S6" i="4"/>
  <c r="R6" i="4"/>
  <c r="U6" i="4" s="1"/>
  <c r="Q6" i="4"/>
  <c r="P6" i="4"/>
  <c r="W6" i="4" s="1"/>
  <c r="O6" i="4"/>
  <c r="N6" i="4"/>
  <c r="M6" i="4"/>
  <c r="F6" i="4"/>
  <c r="T209" i="4"/>
  <c r="S209" i="4"/>
  <c r="R209" i="4"/>
  <c r="U209" i="4" s="1"/>
  <c r="Q209" i="4"/>
  <c r="P209" i="4"/>
  <c r="W209" i="4" s="1"/>
  <c r="O209" i="4"/>
  <c r="N209" i="4"/>
  <c r="M209" i="4"/>
  <c r="F209" i="4"/>
  <c r="T290" i="4"/>
  <c r="S290" i="4"/>
  <c r="R290" i="4"/>
  <c r="U290" i="4" s="1"/>
  <c r="Q290" i="4"/>
  <c r="P290" i="4"/>
  <c r="W290" i="4" s="1"/>
  <c r="O290" i="4"/>
  <c r="N290" i="4"/>
  <c r="M290" i="4"/>
  <c r="F290" i="4"/>
  <c r="T137" i="4"/>
  <c r="S137" i="4"/>
  <c r="R137" i="4"/>
  <c r="U137" i="4" s="1"/>
  <c r="Q137" i="4"/>
  <c r="P137" i="4"/>
  <c r="W137" i="4" s="1"/>
  <c r="O137" i="4"/>
  <c r="N137" i="4"/>
  <c r="M137" i="4"/>
  <c r="F137" i="4"/>
  <c r="T182" i="4"/>
  <c r="S182" i="4"/>
  <c r="R182" i="4"/>
  <c r="U182" i="4" s="1"/>
  <c r="Q182" i="4"/>
  <c r="P182" i="4"/>
  <c r="W182" i="4" s="1"/>
  <c r="O182" i="4"/>
  <c r="N182" i="4"/>
  <c r="M182" i="4"/>
  <c r="F182" i="4"/>
  <c r="T134" i="4"/>
  <c r="S134" i="4"/>
  <c r="R134" i="4"/>
  <c r="U134" i="4" s="1"/>
  <c r="Q134" i="4"/>
  <c r="P134" i="4"/>
  <c r="W134" i="4" s="1"/>
  <c r="O134" i="4"/>
  <c r="N134" i="4"/>
  <c r="M134" i="4"/>
  <c r="F134" i="4"/>
  <c r="T232" i="4"/>
  <c r="S232" i="4"/>
  <c r="R232" i="4"/>
  <c r="U232" i="4" s="1"/>
  <c r="Q232" i="4"/>
  <c r="P232" i="4"/>
  <c r="W232" i="4" s="1"/>
  <c r="O232" i="4"/>
  <c r="N232" i="4"/>
  <c r="M232" i="4"/>
  <c r="F232" i="4"/>
  <c r="T279" i="4"/>
  <c r="S279" i="4"/>
  <c r="R279" i="4"/>
  <c r="U279" i="4" s="1"/>
  <c r="Q279" i="4"/>
  <c r="P279" i="4"/>
  <c r="W279" i="4" s="1"/>
  <c r="O279" i="4"/>
  <c r="N279" i="4"/>
  <c r="M279" i="4"/>
  <c r="F279" i="4"/>
  <c r="T360" i="4"/>
  <c r="S360" i="4"/>
  <c r="R360" i="4"/>
  <c r="U360" i="4" s="1"/>
  <c r="Q360" i="4"/>
  <c r="P360" i="4"/>
  <c r="W360" i="4" s="1"/>
  <c r="O360" i="4"/>
  <c r="N360" i="4"/>
  <c r="M360" i="4"/>
  <c r="F360" i="4"/>
  <c r="T170" i="4"/>
  <c r="S170" i="4"/>
  <c r="R170" i="4"/>
  <c r="U170" i="4" s="1"/>
  <c r="Q170" i="4"/>
  <c r="P170" i="4"/>
  <c r="W170" i="4" s="1"/>
  <c r="O170" i="4"/>
  <c r="N170" i="4"/>
  <c r="M170" i="4"/>
  <c r="F170" i="4"/>
  <c r="T10" i="4"/>
  <c r="S10" i="4"/>
  <c r="R10" i="4"/>
  <c r="U10" i="4" s="1"/>
  <c r="Q10" i="4"/>
  <c r="P10" i="4"/>
  <c r="W10" i="4" s="1"/>
  <c r="O10" i="4"/>
  <c r="N10" i="4"/>
  <c r="M10" i="4"/>
  <c r="F10" i="4"/>
  <c r="T222" i="4"/>
  <c r="S222" i="4"/>
  <c r="R222" i="4"/>
  <c r="U222" i="4" s="1"/>
  <c r="Q222" i="4"/>
  <c r="P222" i="4"/>
  <c r="W222" i="4" s="1"/>
  <c r="O222" i="4"/>
  <c r="N222" i="4"/>
  <c r="M222" i="4"/>
  <c r="F222" i="4"/>
  <c r="T267" i="4"/>
  <c r="S267" i="4"/>
  <c r="R267" i="4"/>
  <c r="U267" i="4" s="1"/>
  <c r="Q267" i="4"/>
  <c r="P267" i="4"/>
  <c r="W267" i="4" s="1"/>
  <c r="O267" i="4"/>
  <c r="N267" i="4"/>
  <c r="M267" i="4"/>
  <c r="F267" i="4"/>
  <c r="T368" i="4"/>
  <c r="S368" i="4"/>
  <c r="R368" i="4"/>
  <c r="U368" i="4" s="1"/>
  <c r="Q368" i="4"/>
  <c r="P368" i="4"/>
  <c r="W368" i="4" s="1"/>
  <c r="O368" i="4"/>
  <c r="N368" i="4"/>
  <c r="M368" i="4"/>
  <c r="F368" i="4"/>
  <c r="T144" i="4"/>
  <c r="S144" i="4"/>
  <c r="R144" i="4"/>
  <c r="U144" i="4" s="1"/>
  <c r="Q144" i="4"/>
  <c r="P144" i="4"/>
  <c r="W144" i="4" s="1"/>
  <c r="O144" i="4"/>
  <c r="N144" i="4"/>
  <c r="M144" i="4"/>
  <c r="F144" i="4"/>
  <c r="T7" i="4"/>
  <c r="S7" i="4"/>
  <c r="R7" i="4"/>
  <c r="U7" i="4" s="1"/>
  <c r="Q7" i="4"/>
  <c r="P7" i="4"/>
  <c r="W7" i="4" s="1"/>
  <c r="O7" i="4"/>
  <c r="N7" i="4"/>
  <c r="M7" i="4"/>
  <c r="F7" i="4"/>
  <c r="T238" i="4"/>
  <c r="S238" i="4"/>
  <c r="R238" i="4"/>
  <c r="U238" i="4" s="1"/>
  <c r="Q238" i="4"/>
  <c r="P238" i="4"/>
  <c r="W238" i="4" s="1"/>
  <c r="O238" i="4"/>
  <c r="N238" i="4"/>
  <c r="M238" i="4"/>
  <c r="F238" i="4"/>
  <c r="T291" i="4"/>
  <c r="S291" i="4"/>
  <c r="R291" i="4"/>
  <c r="U291" i="4" s="1"/>
  <c r="Q291" i="4"/>
  <c r="P291" i="4"/>
  <c r="W291" i="4" s="1"/>
  <c r="O291" i="4"/>
  <c r="N291" i="4"/>
  <c r="M291" i="4"/>
  <c r="F291" i="4"/>
  <c r="T363" i="4"/>
  <c r="S363" i="4"/>
  <c r="R363" i="4"/>
  <c r="U363" i="4" s="1"/>
  <c r="Q363" i="4"/>
  <c r="P363" i="4"/>
  <c r="W363" i="4" s="1"/>
  <c r="O363" i="4"/>
  <c r="N363" i="4"/>
  <c r="M363" i="4"/>
  <c r="F363" i="4"/>
  <c r="T141" i="4"/>
  <c r="S141" i="4"/>
  <c r="R141" i="4"/>
  <c r="U141" i="4" s="1"/>
  <c r="Q141" i="4"/>
  <c r="P141" i="4"/>
  <c r="W141" i="4" s="1"/>
  <c r="O141" i="4"/>
  <c r="N141" i="4"/>
  <c r="M141" i="4"/>
  <c r="F141" i="4"/>
  <c r="T19" i="4"/>
  <c r="S19" i="4"/>
  <c r="R19" i="4"/>
  <c r="U19" i="4" s="1"/>
  <c r="Q19" i="4"/>
  <c r="P19" i="4"/>
  <c r="W19" i="4" s="1"/>
  <c r="O19" i="4"/>
  <c r="N19" i="4"/>
  <c r="M19" i="4"/>
  <c r="F19" i="4"/>
  <c r="T240" i="4" l="1"/>
  <c r="S240" i="4"/>
  <c r="R240" i="4"/>
  <c r="U240" i="4" s="1"/>
  <c r="Q240" i="4"/>
  <c r="P240" i="4"/>
  <c r="W240" i="4" s="1"/>
  <c r="O240" i="4"/>
  <c r="N240" i="4"/>
  <c r="M240" i="4"/>
  <c r="F240" i="4"/>
  <c r="T280" i="4"/>
  <c r="S280" i="4"/>
  <c r="R280" i="4"/>
  <c r="U280" i="4" s="1"/>
  <c r="Q280" i="4"/>
  <c r="P280" i="4"/>
  <c r="W280" i="4" s="1"/>
  <c r="O280" i="4"/>
  <c r="N280" i="4"/>
  <c r="M280" i="4"/>
  <c r="F280" i="4"/>
  <c r="T364" i="4" l="1"/>
  <c r="S364" i="4"/>
  <c r="R364" i="4"/>
  <c r="U364" i="4" s="1"/>
  <c r="Q364" i="4"/>
  <c r="P364" i="4"/>
  <c r="W364" i="4" s="1"/>
  <c r="O364" i="4"/>
  <c r="N364" i="4"/>
  <c r="M364" i="4"/>
  <c r="F364" i="4"/>
  <c r="T139" i="4"/>
  <c r="S139" i="4"/>
  <c r="R139" i="4"/>
  <c r="U139" i="4" s="1"/>
  <c r="Q139" i="4"/>
  <c r="P139" i="4"/>
  <c r="W139" i="4" s="1"/>
  <c r="O139" i="4"/>
  <c r="N139" i="4"/>
  <c r="M139" i="4"/>
  <c r="F139" i="4"/>
  <c r="T11" i="4"/>
  <c r="S11" i="4"/>
  <c r="R11" i="4"/>
  <c r="U11" i="4" s="1"/>
  <c r="Q11" i="4"/>
  <c r="P11" i="4"/>
  <c r="W11" i="4" s="1"/>
  <c r="O11" i="4"/>
  <c r="N11" i="4"/>
  <c r="M11" i="4"/>
  <c r="F11" i="4"/>
  <c r="T110" i="4"/>
  <c r="S110" i="4"/>
  <c r="R110" i="4"/>
  <c r="U110" i="4" s="1"/>
  <c r="Q110" i="4"/>
  <c r="P110" i="4"/>
  <c r="W110" i="4" s="1"/>
  <c r="O110" i="4"/>
  <c r="N110" i="4"/>
  <c r="M110" i="4"/>
  <c r="F110" i="4"/>
  <c r="T111" i="4"/>
  <c r="S111" i="4"/>
  <c r="R111" i="4"/>
  <c r="U111" i="4" s="1"/>
  <c r="Q111" i="4"/>
  <c r="P111" i="4"/>
  <c r="W111" i="4" s="1"/>
  <c r="O111" i="4"/>
  <c r="N111" i="4"/>
  <c r="M111" i="4"/>
  <c r="F111" i="4"/>
  <c r="T125" i="4"/>
  <c r="S125" i="4"/>
  <c r="R125" i="4"/>
  <c r="U125" i="4" s="1"/>
  <c r="Q125" i="4"/>
  <c r="P125" i="4"/>
  <c r="W125" i="4" s="1"/>
  <c r="O125" i="4"/>
  <c r="N125" i="4"/>
  <c r="M125" i="4"/>
  <c r="F125" i="4"/>
  <c r="T126" i="4"/>
  <c r="S126" i="4"/>
  <c r="R126" i="4"/>
  <c r="U126" i="4" s="1"/>
  <c r="Q126" i="4"/>
  <c r="P126" i="4"/>
  <c r="W126" i="4" s="1"/>
  <c r="O126" i="4"/>
  <c r="N126" i="4"/>
  <c r="M126" i="4"/>
  <c r="F126" i="4"/>
  <c r="T127" i="4"/>
  <c r="S127" i="4"/>
  <c r="R127" i="4"/>
  <c r="U127" i="4" s="1"/>
  <c r="Q127" i="4"/>
  <c r="P127" i="4"/>
  <c r="W127" i="4" s="1"/>
  <c r="O127" i="4"/>
  <c r="N127" i="4"/>
  <c r="M127" i="4"/>
  <c r="F127" i="4"/>
  <c r="T223" i="4"/>
  <c r="S223" i="4"/>
  <c r="R223" i="4"/>
  <c r="U223" i="4" s="1"/>
  <c r="Q223" i="4"/>
  <c r="P223" i="4"/>
  <c r="W223" i="4" s="1"/>
  <c r="O223" i="4"/>
  <c r="N223" i="4"/>
  <c r="M223" i="4"/>
  <c r="F223" i="4"/>
  <c r="T101" i="4"/>
  <c r="S101" i="4"/>
  <c r="R101" i="4"/>
  <c r="U101" i="4" s="1"/>
  <c r="Q101" i="4"/>
  <c r="P101" i="4"/>
  <c r="W101" i="4" s="1"/>
  <c r="O101" i="4"/>
  <c r="N101" i="4"/>
  <c r="M101" i="4"/>
  <c r="F101" i="4"/>
  <c r="T268" i="4"/>
  <c r="S268" i="4"/>
  <c r="R268" i="4"/>
  <c r="U268" i="4" s="1"/>
  <c r="Q268" i="4"/>
  <c r="P268" i="4"/>
  <c r="W268" i="4" s="1"/>
  <c r="O268" i="4"/>
  <c r="N268" i="4"/>
  <c r="M268" i="4"/>
  <c r="F268" i="4"/>
  <c r="T369" i="4"/>
  <c r="S369" i="4"/>
  <c r="R369" i="4"/>
  <c r="U369" i="4" s="1"/>
  <c r="Q369" i="4"/>
  <c r="P369" i="4"/>
  <c r="W369" i="4" s="1"/>
  <c r="O369" i="4"/>
  <c r="N369" i="4"/>
  <c r="M369" i="4"/>
  <c r="F369" i="4"/>
  <c r="T100" i="4"/>
  <c r="S100" i="4"/>
  <c r="R100" i="4"/>
  <c r="U100" i="4" s="1"/>
  <c r="Q100" i="4"/>
  <c r="P100" i="4"/>
  <c r="W100" i="4" s="1"/>
  <c r="O100" i="4"/>
  <c r="N100" i="4"/>
  <c r="M100" i="4"/>
  <c r="F100" i="4"/>
  <c r="T27" i="4"/>
  <c r="S27" i="4"/>
  <c r="R27" i="4"/>
  <c r="U27" i="4" s="1"/>
  <c r="Q27" i="4"/>
  <c r="P27" i="4"/>
  <c r="W27" i="4" s="1"/>
  <c r="O27" i="4"/>
  <c r="N27" i="4"/>
  <c r="M27" i="4"/>
  <c r="F27" i="4"/>
  <c r="T241" i="4"/>
  <c r="S241" i="4"/>
  <c r="R241" i="4"/>
  <c r="U241" i="4" s="1"/>
  <c r="Q241" i="4"/>
  <c r="P241" i="4"/>
  <c r="W241" i="4" s="1"/>
  <c r="O241" i="4"/>
  <c r="N241" i="4"/>
  <c r="M241" i="4"/>
  <c r="F241" i="4"/>
  <c r="T281" i="4"/>
  <c r="S281" i="4"/>
  <c r="R281" i="4"/>
  <c r="U281" i="4" s="1"/>
  <c r="Q281" i="4"/>
  <c r="P281" i="4"/>
  <c r="W281" i="4" s="1"/>
  <c r="O281" i="4"/>
  <c r="N281" i="4"/>
  <c r="M281" i="4"/>
  <c r="F281" i="4"/>
  <c r="T365" i="4"/>
  <c r="S365" i="4"/>
  <c r="R365" i="4"/>
  <c r="U365" i="4" s="1"/>
  <c r="Q365" i="4"/>
  <c r="P365" i="4"/>
  <c r="W365" i="4" s="1"/>
  <c r="O365" i="4"/>
  <c r="N365" i="4"/>
  <c r="M365" i="4"/>
  <c r="F365" i="4"/>
  <c r="T84" i="4"/>
  <c r="S84" i="4"/>
  <c r="R84" i="4"/>
  <c r="U84" i="4" s="1"/>
  <c r="Q84" i="4"/>
  <c r="P84" i="4"/>
  <c r="W84" i="4" s="1"/>
  <c r="O84" i="4"/>
  <c r="N84" i="4"/>
  <c r="M84" i="4"/>
  <c r="F84" i="4"/>
  <c r="T14" i="4" l="1"/>
  <c r="S14" i="4"/>
  <c r="R14" i="4"/>
  <c r="U14" i="4" s="1"/>
  <c r="Q14" i="4"/>
  <c r="P14" i="4"/>
  <c r="W14" i="4" s="1"/>
  <c r="O14" i="4"/>
  <c r="N14" i="4"/>
  <c r="M14" i="4"/>
  <c r="F14" i="4"/>
  <c r="T224" i="4" l="1"/>
  <c r="S224" i="4"/>
  <c r="R224" i="4"/>
  <c r="U224" i="4" s="1"/>
  <c r="Q224" i="4"/>
  <c r="P224" i="4"/>
  <c r="W224" i="4" s="1"/>
  <c r="O224" i="4"/>
  <c r="N224" i="4"/>
  <c r="M224" i="4"/>
  <c r="F224" i="4"/>
  <c r="T269" i="4"/>
  <c r="S269" i="4"/>
  <c r="R269" i="4"/>
  <c r="U269" i="4" s="1"/>
  <c r="Q269" i="4"/>
  <c r="P269" i="4"/>
  <c r="W269" i="4" s="1"/>
  <c r="O269" i="4"/>
  <c r="N269" i="4"/>
  <c r="M269" i="4"/>
  <c r="F269" i="4"/>
  <c r="T145" i="4" l="1"/>
  <c r="S145" i="4"/>
  <c r="R145" i="4"/>
  <c r="U145" i="4" s="1"/>
  <c r="Q145" i="4"/>
  <c r="P145" i="4"/>
  <c r="W145" i="4" s="1"/>
  <c r="O145" i="4"/>
  <c r="N145" i="4"/>
  <c r="M145" i="4"/>
  <c r="F145" i="4"/>
  <c r="T211" i="4"/>
  <c r="S211" i="4"/>
  <c r="R211" i="4"/>
  <c r="U211" i="4" s="1"/>
  <c r="Q211" i="4"/>
  <c r="P211" i="4"/>
  <c r="W211" i="4" s="1"/>
  <c r="O211" i="4"/>
  <c r="N211" i="4"/>
  <c r="M211" i="4"/>
  <c r="F211" i="4"/>
  <c r="T234" i="4"/>
  <c r="S234" i="4"/>
  <c r="R234" i="4"/>
  <c r="U234" i="4" s="1"/>
  <c r="Q234" i="4"/>
  <c r="P234" i="4"/>
  <c r="W234" i="4" s="1"/>
  <c r="O234" i="4"/>
  <c r="N234" i="4"/>
  <c r="M234" i="4"/>
  <c r="F234" i="4"/>
  <c r="T361" i="4"/>
  <c r="S361" i="4"/>
  <c r="R361" i="4"/>
  <c r="U361" i="4" s="1"/>
  <c r="Q361" i="4"/>
  <c r="P361" i="4"/>
  <c r="W361" i="4" s="1"/>
  <c r="O361" i="4"/>
  <c r="N361" i="4"/>
  <c r="M361" i="4"/>
  <c r="F361" i="4"/>
  <c r="T292" i="4"/>
  <c r="S292" i="4"/>
  <c r="R292" i="4"/>
  <c r="U292" i="4" s="1"/>
  <c r="Q292" i="4"/>
  <c r="P292" i="4"/>
  <c r="W292" i="4" s="1"/>
  <c r="O292" i="4"/>
  <c r="N292" i="4"/>
  <c r="M292" i="4"/>
  <c r="F292" i="4"/>
  <c r="T160" i="4"/>
  <c r="S160" i="4"/>
  <c r="R160" i="4"/>
  <c r="U160" i="4" s="1"/>
  <c r="Q160" i="4"/>
  <c r="P160" i="4"/>
  <c r="W160" i="4" s="1"/>
  <c r="O160" i="4"/>
  <c r="N160" i="4"/>
  <c r="M160" i="4"/>
  <c r="F160" i="4"/>
  <c r="T20" i="4"/>
  <c r="S20" i="4"/>
  <c r="R20" i="4"/>
  <c r="U20" i="4" s="1"/>
  <c r="Q20" i="4"/>
  <c r="P20" i="4"/>
  <c r="W20" i="4" s="1"/>
  <c r="O20" i="4"/>
  <c r="N20" i="4"/>
  <c r="M20" i="4"/>
  <c r="F20" i="4"/>
  <c r="T242" i="4"/>
  <c r="S242" i="4"/>
  <c r="R242" i="4"/>
  <c r="U242" i="4" s="1"/>
  <c r="Q242" i="4"/>
  <c r="P242" i="4"/>
  <c r="W242" i="4" s="1"/>
  <c r="O242" i="4"/>
  <c r="N242" i="4"/>
  <c r="M242" i="4"/>
  <c r="F242" i="4"/>
  <c r="T282" i="4" l="1"/>
  <c r="S282" i="4"/>
  <c r="R282" i="4"/>
  <c r="U282" i="4" s="1"/>
  <c r="Q282" i="4"/>
  <c r="P282" i="4"/>
  <c r="W282" i="4" s="1"/>
  <c r="O282" i="4"/>
  <c r="N282" i="4"/>
  <c r="M282" i="4"/>
  <c r="F282" i="4"/>
  <c r="T366" i="4"/>
  <c r="S366" i="4"/>
  <c r="R366" i="4"/>
  <c r="U366" i="4" s="1"/>
  <c r="Q366" i="4"/>
  <c r="P366" i="4"/>
  <c r="W366" i="4" s="1"/>
  <c r="O366" i="4"/>
  <c r="N366" i="4"/>
  <c r="M366" i="4"/>
  <c r="F366" i="4"/>
  <c r="T15" i="4"/>
  <c r="S15" i="4"/>
  <c r="R15" i="4"/>
  <c r="U15" i="4" s="1"/>
  <c r="Q15" i="4"/>
  <c r="P15" i="4"/>
  <c r="W15" i="4" s="1"/>
  <c r="O15" i="4"/>
  <c r="N15" i="4"/>
  <c r="M15" i="4"/>
  <c r="F15" i="4"/>
  <c r="T155" i="4"/>
  <c r="S155" i="4"/>
  <c r="R155" i="4"/>
  <c r="U155" i="4" s="1"/>
  <c r="Q155" i="4"/>
  <c r="P155" i="4"/>
  <c r="W155" i="4" s="1"/>
  <c r="O155" i="4"/>
  <c r="N155" i="4"/>
  <c r="M155" i="4"/>
  <c r="F155" i="4"/>
  <c r="T225" i="4"/>
  <c r="S225" i="4"/>
  <c r="R225" i="4"/>
  <c r="U225" i="4" s="1"/>
  <c r="Q225" i="4"/>
  <c r="P225" i="4"/>
  <c r="W225" i="4" s="1"/>
  <c r="O225" i="4"/>
  <c r="N225" i="4"/>
  <c r="M225" i="4"/>
  <c r="F225" i="4"/>
  <c r="T270" i="4"/>
  <c r="S270" i="4"/>
  <c r="R270" i="4"/>
  <c r="U270" i="4" s="1"/>
  <c r="Q270" i="4"/>
  <c r="P270" i="4"/>
  <c r="W270" i="4" s="1"/>
  <c r="O270" i="4"/>
  <c r="N270" i="4"/>
  <c r="M270" i="4"/>
  <c r="F270" i="4"/>
  <c r="T370" i="4"/>
  <c r="S370" i="4"/>
  <c r="R370" i="4"/>
  <c r="U370" i="4" s="1"/>
  <c r="Q370" i="4"/>
  <c r="P370" i="4"/>
  <c r="W370" i="4" s="1"/>
  <c r="O370" i="4"/>
  <c r="N370" i="4"/>
  <c r="M370" i="4"/>
  <c r="F370" i="4"/>
  <c r="T165" i="4"/>
  <c r="S165" i="4"/>
  <c r="R165" i="4"/>
  <c r="U165" i="4" s="1"/>
  <c r="Q165" i="4"/>
  <c r="P165" i="4"/>
  <c r="W165" i="4" s="1"/>
  <c r="O165" i="4"/>
  <c r="N165" i="4"/>
  <c r="M165" i="4"/>
  <c r="F165" i="4"/>
  <c r="T8" i="4"/>
  <c r="S8" i="4"/>
  <c r="R8" i="4"/>
  <c r="U8" i="4" s="1"/>
  <c r="Q8" i="4"/>
  <c r="P8" i="4"/>
  <c r="W8" i="4" s="1"/>
  <c r="O8" i="4"/>
  <c r="N8" i="4"/>
  <c r="M8" i="4"/>
  <c r="F8" i="4"/>
  <c r="T243" i="4"/>
  <c r="S243" i="4"/>
  <c r="R243" i="4"/>
  <c r="U243" i="4" s="1"/>
  <c r="Q243" i="4"/>
  <c r="P243" i="4"/>
  <c r="W243" i="4" s="1"/>
  <c r="O243" i="4"/>
  <c r="N243" i="4"/>
  <c r="M243" i="4"/>
  <c r="F243" i="4"/>
  <c r="T293" i="4"/>
  <c r="S293" i="4"/>
  <c r="R293" i="4"/>
  <c r="U293" i="4" s="1"/>
  <c r="Q293" i="4"/>
  <c r="P293" i="4"/>
  <c r="W293" i="4" s="1"/>
  <c r="O293" i="4"/>
  <c r="N293" i="4"/>
  <c r="M293" i="4"/>
  <c r="F293" i="4"/>
  <c r="T367" i="4"/>
  <c r="S367" i="4"/>
  <c r="R367" i="4"/>
  <c r="U367" i="4" s="1"/>
  <c r="Q367" i="4"/>
  <c r="P367" i="4"/>
  <c r="W367" i="4" s="1"/>
  <c r="O367" i="4"/>
  <c r="N367" i="4"/>
  <c r="M367" i="4"/>
  <c r="F367" i="4"/>
  <c r="T161" i="4"/>
  <c r="S161" i="4"/>
  <c r="R161" i="4"/>
  <c r="U161" i="4" s="1"/>
  <c r="Q161" i="4"/>
  <c r="P161" i="4"/>
  <c r="W161" i="4" s="1"/>
  <c r="O161" i="4"/>
  <c r="N161" i="4"/>
  <c r="M161" i="4"/>
  <c r="F161" i="4"/>
  <c r="T21" i="4"/>
  <c r="S21" i="4"/>
  <c r="R21" i="4"/>
  <c r="U21" i="4" s="1"/>
  <c r="Q21" i="4"/>
  <c r="P21" i="4"/>
  <c r="W21" i="4" s="1"/>
  <c r="O21" i="4"/>
  <c r="N21" i="4"/>
  <c r="M21" i="4"/>
  <c r="F21" i="4"/>
  <c r="T235" i="4"/>
  <c r="S235" i="4"/>
  <c r="R235" i="4"/>
  <c r="U235" i="4" s="1"/>
  <c r="Q235" i="4"/>
  <c r="P235" i="4"/>
  <c r="W235" i="4" s="1"/>
  <c r="O235" i="4"/>
  <c r="N235" i="4"/>
  <c r="M235" i="4"/>
  <c r="F235" i="4"/>
  <c r="T283" i="4"/>
  <c r="S283" i="4"/>
  <c r="R283" i="4"/>
  <c r="U283" i="4" s="1"/>
  <c r="Q283" i="4"/>
  <c r="P283" i="4"/>
  <c r="W283" i="4" s="1"/>
  <c r="O283" i="4"/>
  <c r="N283" i="4"/>
  <c r="M283" i="4"/>
  <c r="F283" i="4"/>
  <c r="T362" i="4"/>
  <c r="S362" i="4"/>
  <c r="R362" i="4"/>
  <c r="U362" i="4" s="1"/>
  <c r="Q362" i="4"/>
  <c r="P362" i="4"/>
  <c r="W362" i="4" s="1"/>
  <c r="O362" i="4"/>
  <c r="N362" i="4"/>
  <c r="M362" i="4"/>
  <c r="F362" i="4"/>
  <c r="T151" i="4"/>
  <c r="S151" i="4"/>
  <c r="R151" i="4"/>
  <c r="U151" i="4" s="1"/>
  <c r="Q151" i="4"/>
  <c r="P151" i="4"/>
  <c r="W151" i="4" s="1"/>
  <c r="O151" i="4"/>
  <c r="N151" i="4"/>
  <c r="M151" i="4"/>
  <c r="F151" i="4"/>
  <c r="T12" i="4"/>
  <c r="S12" i="4"/>
  <c r="R12" i="4"/>
  <c r="U12" i="4" s="1"/>
  <c r="Q12" i="4"/>
  <c r="P12" i="4"/>
  <c r="W12" i="4" s="1"/>
  <c r="O12" i="4"/>
  <c r="N12" i="4"/>
  <c r="M12" i="4"/>
  <c r="F12" i="4"/>
  <c r="T226" i="4"/>
  <c r="S226" i="4"/>
  <c r="R226" i="4"/>
  <c r="U226" i="4" s="1"/>
  <c r="Q226" i="4"/>
  <c r="P226" i="4"/>
  <c r="W226" i="4" s="1"/>
  <c r="O226" i="4"/>
  <c r="N226" i="4"/>
  <c r="M226" i="4"/>
  <c r="F226" i="4"/>
  <c r="T271" i="4"/>
  <c r="S271" i="4"/>
  <c r="R271" i="4"/>
  <c r="U271" i="4" s="1"/>
  <c r="Q271" i="4"/>
  <c r="P271" i="4"/>
  <c r="W271" i="4" s="1"/>
  <c r="O271" i="4"/>
  <c r="N271" i="4"/>
  <c r="M271" i="4"/>
  <c r="F271" i="4"/>
  <c r="T371" i="4"/>
  <c r="S371" i="4"/>
  <c r="R371" i="4"/>
  <c r="U371" i="4" s="1"/>
  <c r="Q371" i="4"/>
  <c r="P371" i="4"/>
  <c r="W371" i="4" s="1"/>
  <c r="O371" i="4"/>
  <c r="N371" i="4"/>
  <c r="M371" i="4"/>
  <c r="F371" i="4"/>
  <c r="T329" i="4"/>
  <c r="S329" i="4"/>
  <c r="R329" i="4"/>
  <c r="U329" i="4" s="1"/>
  <c r="Q329" i="4"/>
  <c r="P329" i="4"/>
  <c r="W329" i="4" s="1"/>
  <c r="O329" i="4"/>
  <c r="N329" i="4"/>
  <c r="M329" i="4"/>
  <c r="F329" i="4"/>
  <c r="T166" i="4"/>
  <c r="S166" i="4"/>
  <c r="R166" i="4"/>
  <c r="U166" i="4" s="1"/>
  <c r="Q166" i="4"/>
  <c r="P166" i="4"/>
  <c r="W166" i="4" s="1"/>
  <c r="O166" i="4"/>
  <c r="N166" i="4"/>
  <c r="M166" i="4"/>
  <c r="F166" i="4"/>
  <c r="T212" i="4"/>
  <c r="S212" i="4"/>
  <c r="R212" i="4"/>
  <c r="U212" i="4" s="1"/>
  <c r="Q212" i="4"/>
  <c r="P212" i="4"/>
  <c r="W212" i="4" s="1"/>
  <c r="O212" i="4"/>
  <c r="N212" i="4"/>
  <c r="M212" i="4"/>
  <c r="F212" i="4"/>
  <c r="T9" i="4"/>
  <c r="S9" i="4"/>
  <c r="R9" i="4"/>
  <c r="U9" i="4" s="1"/>
  <c r="Q9" i="4"/>
  <c r="P9" i="4"/>
  <c r="W9" i="4" s="1"/>
  <c r="O9" i="4"/>
  <c r="N9" i="4"/>
  <c r="M9" i="4"/>
  <c r="F9" i="4"/>
  <c r="T112" i="4"/>
  <c r="S112" i="4"/>
  <c r="R112" i="4"/>
  <c r="U112" i="4" s="1"/>
  <c r="Q112" i="4"/>
  <c r="P112" i="4"/>
  <c r="W112" i="4" s="1"/>
  <c r="O112" i="4"/>
  <c r="N112" i="4"/>
  <c r="M112" i="4"/>
  <c r="F112" i="4"/>
  <c r="T113" i="4"/>
  <c r="S113" i="4"/>
  <c r="R113" i="4"/>
  <c r="U113" i="4" s="1"/>
  <c r="Q113" i="4"/>
  <c r="P113" i="4"/>
  <c r="W113" i="4" s="1"/>
  <c r="O113" i="4"/>
  <c r="N113" i="4"/>
  <c r="M113" i="4"/>
  <c r="F113" i="4"/>
  <c r="T325" i="4"/>
  <c r="S325" i="4"/>
  <c r="R325" i="4"/>
  <c r="U325" i="4" s="1"/>
  <c r="Q325" i="4"/>
  <c r="P325" i="4"/>
  <c r="W325" i="4" s="1"/>
  <c r="O325" i="4"/>
  <c r="N325" i="4"/>
  <c r="M325" i="4"/>
  <c r="F325" i="4"/>
  <c r="T206" i="4"/>
  <c r="S206" i="4"/>
  <c r="R206" i="4"/>
  <c r="U206" i="4" s="1"/>
  <c r="Q206" i="4"/>
  <c r="P206" i="4"/>
  <c r="W206" i="4" s="1"/>
  <c r="O206" i="4"/>
  <c r="N206" i="4"/>
  <c r="M206" i="4"/>
  <c r="F206" i="4"/>
  <c r="T17" i="4"/>
  <c r="S17" i="4"/>
  <c r="R17" i="4"/>
  <c r="U17" i="4" s="1"/>
  <c r="Q17" i="4"/>
  <c r="P17" i="4"/>
  <c r="W17" i="4" s="1"/>
  <c r="O17" i="4"/>
  <c r="N17" i="4"/>
  <c r="M17" i="4"/>
  <c r="F17" i="4"/>
  <c r="T149" i="4"/>
  <c r="S149" i="4"/>
  <c r="R149" i="4"/>
  <c r="U149" i="4" s="1"/>
  <c r="Q149" i="4"/>
  <c r="P149" i="4"/>
  <c r="W149" i="4" s="1"/>
  <c r="O149" i="4"/>
  <c r="N149" i="4"/>
  <c r="M149" i="4"/>
  <c r="F149" i="4"/>
  <c r="T323" i="4"/>
  <c r="S323" i="4"/>
  <c r="R323" i="4"/>
  <c r="U323" i="4" s="1"/>
  <c r="Q323" i="4"/>
  <c r="P323" i="4"/>
  <c r="W323" i="4" s="1"/>
  <c r="O323" i="4"/>
  <c r="N323" i="4"/>
  <c r="M323" i="4"/>
  <c r="F323" i="4"/>
  <c r="T244" i="4"/>
  <c r="S244" i="4"/>
  <c r="R244" i="4"/>
  <c r="U244" i="4" s="1"/>
  <c r="Q244" i="4"/>
  <c r="P244" i="4"/>
  <c r="W244" i="4" s="1"/>
  <c r="O244" i="4"/>
  <c r="N244" i="4"/>
  <c r="M244" i="4"/>
  <c r="F244" i="4"/>
  <c r="T284" i="4"/>
  <c r="S284" i="4"/>
  <c r="R284" i="4"/>
  <c r="U284" i="4" s="1"/>
  <c r="Q284" i="4"/>
  <c r="P284" i="4"/>
  <c r="W284" i="4" s="1"/>
  <c r="O284" i="4"/>
  <c r="N284" i="4"/>
  <c r="M284" i="4"/>
  <c r="F284" i="4"/>
  <c r="T85" i="4" l="1"/>
  <c r="S85" i="4"/>
  <c r="R85" i="4"/>
  <c r="U85" i="4" s="1"/>
  <c r="Q85" i="4"/>
  <c r="P85" i="4"/>
  <c r="W85" i="4" s="1"/>
  <c r="O85" i="4"/>
  <c r="N85" i="4"/>
  <c r="M85" i="4"/>
  <c r="F85" i="4"/>
  <c r="T201" i="4"/>
  <c r="S201" i="4"/>
  <c r="R201" i="4"/>
  <c r="U201" i="4" s="1"/>
  <c r="Q201" i="4"/>
  <c r="P201" i="4"/>
  <c r="W201" i="4" s="1"/>
  <c r="O201" i="4"/>
  <c r="N201" i="4"/>
  <c r="M201" i="4"/>
  <c r="F201" i="4"/>
  <c r="T227" i="4"/>
  <c r="S227" i="4"/>
  <c r="R227" i="4"/>
  <c r="U227" i="4" s="1"/>
  <c r="Q227" i="4"/>
  <c r="P227" i="4"/>
  <c r="W227" i="4" s="1"/>
  <c r="O227" i="4"/>
  <c r="N227" i="4"/>
  <c r="M227" i="4"/>
  <c r="F227" i="4"/>
  <c r="T272" i="4"/>
  <c r="S272" i="4"/>
  <c r="R272" i="4"/>
  <c r="U272" i="4" s="1"/>
  <c r="Q272" i="4"/>
  <c r="P272" i="4"/>
  <c r="W272" i="4" s="1"/>
  <c r="O272" i="4"/>
  <c r="N272" i="4"/>
  <c r="M272" i="4"/>
  <c r="F272" i="4"/>
  <c r="T330" i="4"/>
  <c r="S330" i="4"/>
  <c r="R330" i="4"/>
  <c r="U330" i="4" s="1"/>
  <c r="Q330" i="4"/>
  <c r="P330" i="4"/>
  <c r="W330" i="4" s="1"/>
  <c r="O330" i="4"/>
  <c r="N330" i="4"/>
  <c r="M330" i="4"/>
  <c r="F330" i="4"/>
  <c r="T213" i="4"/>
  <c r="S213" i="4"/>
  <c r="R213" i="4"/>
  <c r="U213" i="4" s="1"/>
  <c r="Q213" i="4"/>
  <c r="P213" i="4"/>
  <c r="W213" i="4" s="1"/>
  <c r="O213" i="4"/>
  <c r="N213" i="4"/>
  <c r="M213" i="4"/>
  <c r="F213" i="4"/>
  <c r="T147" i="4"/>
  <c r="S147" i="4"/>
  <c r="R147" i="4"/>
  <c r="U147" i="4" s="1"/>
  <c r="Q147" i="4"/>
  <c r="P147" i="4"/>
  <c r="W147" i="4" s="1"/>
  <c r="O147" i="4"/>
  <c r="N147" i="4"/>
  <c r="M147" i="4"/>
  <c r="F147" i="4"/>
  <c r="T150" i="4"/>
  <c r="S150" i="4"/>
  <c r="R150" i="4"/>
  <c r="U150" i="4" s="1"/>
  <c r="Q150" i="4"/>
  <c r="P150" i="4"/>
  <c r="W150" i="4" s="1"/>
  <c r="O150" i="4"/>
  <c r="N150" i="4"/>
  <c r="M150" i="4"/>
  <c r="F150" i="4"/>
  <c r="T207" i="4"/>
  <c r="S207" i="4"/>
  <c r="R207" i="4"/>
  <c r="U207" i="4" s="1"/>
  <c r="Q207" i="4"/>
  <c r="P207" i="4"/>
  <c r="W207" i="4" s="1"/>
  <c r="O207" i="4"/>
  <c r="N207" i="4"/>
  <c r="M207" i="4"/>
  <c r="F207" i="4"/>
  <c r="T326" i="4"/>
  <c r="S326" i="4"/>
  <c r="R326" i="4"/>
  <c r="U326" i="4" s="1"/>
  <c r="Q326" i="4"/>
  <c r="P326" i="4"/>
  <c r="W326" i="4" s="1"/>
  <c r="O326" i="4"/>
  <c r="N326" i="4"/>
  <c r="M326" i="4"/>
  <c r="F326" i="4"/>
  <c r="T285" i="4"/>
  <c r="S285" i="4"/>
  <c r="R285" i="4"/>
  <c r="U285" i="4" s="1"/>
  <c r="Q285" i="4"/>
  <c r="P285" i="4"/>
  <c r="W285" i="4" s="1"/>
  <c r="O285" i="4"/>
  <c r="N285" i="4"/>
  <c r="M285" i="4"/>
  <c r="F285" i="4"/>
  <c r="T239" i="4"/>
  <c r="S239" i="4"/>
  <c r="R239" i="4"/>
  <c r="U239" i="4" s="1"/>
  <c r="Q239" i="4"/>
  <c r="P239" i="4"/>
  <c r="W239" i="4" s="1"/>
  <c r="O239" i="4"/>
  <c r="N239" i="4"/>
  <c r="M239" i="4"/>
  <c r="F239" i="4"/>
  <c r="T33" i="4"/>
  <c r="S33" i="4"/>
  <c r="R33" i="4"/>
  <c r="U33" i="4" s="1"/>
  <c r="Q33" i="4"/>
  <c r="P33" i="4"/>
  <c r="W33" i="4" s="1"/>
  <c r="O33" i="4"/>
  <c r="N33" i="4"/>
  <c r="M33" i="4"/>
  <c r="F33" i="4"/>
  <c r="T250" i="4"/>
  <c r="S250" i="4"/>
  <c r="R250" i="4"/>
  <c r="U250" i="4" s="1"/>
  <c r="Q250" i="4"/>
  <c r="P250" i="4"/>
  <c r="W250" i="4" s="1"/>
  <c r="O250" i="4"/>
  <c r="N250" i="4"/>
  <c r="M250" i="4"/>
  <c r="F250" i="4"/>
  <c r="T169" i="4"/>
  <c r="S169" i="4"/>
  <c r="R169" i="4"/>
  <c r="U169" i="4" s="1"/>
  <c r="Q169" i="4"/>
  <c r="P169" i="4"/>
  <c r="W169" i="4" s="1"/>
  <c r="O169" i="4"/>
  <c r="N169" i="4"/>
  <c r="M169" i="4"/>
  <c r="F169" i="4"/>
  <c r="T128" i="4"/>
  <c r="S128" i="4"/>
  <c r="R128" i="4"/>
  <c r="U128" i="4" s="1"/>
  <c r="Q128" i="4"/>
  <c r="P128" i="4"/>
  <c r="W128" i="4" s="1"/>
  <c r="O128" i="4"/>
  <c r="N128" i="4"/>
  <c r="M128" i="4"/>
  <c r="F128" i="4"/>
  <c r="T258" i="4"/>
  <c r="S258" i="4"/>
  <c r="R258" i="4"/>
  <c r="U258" i="4" s="1"/>
  <c r="Q258" i="4"/>
  <c r="P258" i="4"/>
  <c r="W258" i="4" s="1"/>
  <c r="O258" i="4"/>
  <c r="N258" i="4"/>
  <c r="M258" i="4"/>
  <c r="F258" i="4"/>
  <c r="T176" i="4"/>
  <c r="S176" i="4"/>
  <c r="R176" i="4"/>
  <c r="U176" i="4" s="1"/>
  <c r="Q176" i="4"/>
  <c r="P176" i="4"/>
  <c r="W176" i="4" s="1"/>
  <c r="O176" i="4"/>
  <c r="N176" i="4"/>
  <c r="M176" i="4"/>
  <c r="F176" i="4"/>
  <c r="T41" i="4"/>
  <c r="S41" i="4"/>
  <c r="R41" i="4"/>
  <c r="U41" i="4" s="1"/>
  <c r="Q41" i="4"/>
  <c r="P41" i="4"/>
  <c r="W41" i="4" s="1"/>
  <c r="O41" i="4"/>
  <c r="N41" i="4"/>
  <c r="M41" i="4"/>
  <c r="F41" i="4"/>
  <c r="T254" i="4"/>
  <c r="S254" i="4"/>
  <c r="R254" i="4"/>
  <c r="U254" i="4" s="1"/>
  <c r="Q254" i="4"/>
  <c r="P254" i="4"/>
  <c r="W254" i="4" s="1"/>
  <c r="O254" i="4"/>
  <c r="N254" i="4"/>
  <c r="M254" i="4"/>
  <c r="F254" i="4"/>
  <c r="F5" i="6"/>
  <c r="M5" i="6"/>
  <c r="N5" i="6"/>
  <c r="O5" i="6"/>
  <c r="P5" i="6"/>
  <c r="Q5" i="6"/>
  <c r="R5" i="6"/>
  <c r="S5" i="6"/>
  <c r="T5" i="6"/>
  <c r="U5" i="6"/>
  <c r="W5" i="6"/>
  <c r="T174" i="4"/>
  <c r="S174" i="4"/>
  <c r="R174" i="4"/>
  <c r="U174" i="4" s="1"/>
  <c r="Q174" i="4"/>
  <c r="P174" i="4"/>
  <c r="W174" i="4" s="1"/>
  <c r="O174" i="4"/>
  <c r="N174" i="4"/>
  <c r="M174" i="4"/>
  <c r="F174" i="4"/>
  <c r="T245" i="4"/>
  <c r="S245" i="4"/>
  <c r="R245" i="4"/>
  <c r="U245" i="4" s="1"/>
  <c r="Q245" i="4"/>
  <c r="P245" i="4"/>
  <c r="W245" i="4" s="1"/>
  <c r="O245" i="4"/>
  <c r="N245" i="4"/>
  <c r="M245" i="4"/>
  <c r="F245" i="4"/>
  <c r="T79" i="4"/>
  <c r="S79" i="4"/>
  <c r="R79" i="4"/>
  <c r="U79" i="4" s="1"/>
  <c r="Q79" i="4"/>
  <c r="P79" i="4"/>
  <c r="W79" i="4" s="1"/>
  <c r="O79" i="4"/>
  <c r="N79" i="4"/>
  <c r="M79" i="4"/>
  <c r="F79" i="4"/>
  <c r="T328" i="4"/>
  <c r="S328" i="4"/>
  <c r="R328" i="4"/>
  <c r="U328" i="4" s="1"/>
  <c r="Q328" i="4"/>
  <c r="P328" i="4"/>
  <c r="W328" i="4" s="1"/>
  <c r="O328" i="4"/>
  <c r="N328" i="4"/>
  <c r="M328" i="4"/>
  <c r="F328" i="4"/>
  <c r="T202" i="4"/>
  <c r="S202" i="4"/>
  <c r="R202" i="4"/>
  <c r="U202" i="4" s="1"/>
  <c r="Q202" i="4"/>
  <c r="P202" i="4"/>
  <c r="W202" i="4" s="1"/>
  <c r="O202" i="4"/>
  <c r="N202" i="4"/>
  <c r="M202" i="4"/>
  <c r="F202" i="4"/>
  <c r="T98" i="4"/>
  <c r="S98" i="4"/>
  <c r="R98" i="4"/>
  <c r="U98" i="4" s="1"/>
  <c r="Q98" i="4"/>
  <c r="P98" i="4"/>
  <c r="W98" i="4" s="1"/>
  <c r="O98" i="4"/>
  <c r="N98" i="4"/>
  <c r="M98" i="4"/>
  <c r="F98" i="4"/>
  <c r="T228" i="4"/>
  <c r="S228" i="4"/>
  <c r="R228" i="4"/>
  <c r="U228" i="4" s="1"/>
  <c r="Q228" i="4"/>
  <c r="P228" i="4"/>
  <c r="W228" i="4" s="1"/>
  <c r="O228" i="4"/>
  <c r="N228" i="4"/>
  <c r="M228" i="4"/>
  <c r="F228" i="4"/>
  <c r="T91" i="4"/>
  <c r="S91" i="4"/>
  <c r="R91" i="4"/>
  <c r="U91" i="4" s="1"/>
  <c r="Q91" i="4"/>
  <c r="P91" i="4"/>
  <c r="W91" i="4" s="1"/>
  <c r="O91" i="4"/>
  <c r="N91" i="4"/>
  <c r="M91" i="4"/>
  <c r="F91" i="4"/>
  <c r="T331" i="4"/>
  <c r="S331" i="4"/>
  <c r="R331" i="4"/>
  <c r="U331" i="4" s="1"/>
  <c r="Q331" i="4"/>
  <c r="P331" i="4"/>
  <c r="W331" i="4" s="1"/>
  <c r="O331" i="4"/>
  <c r="N331" i="4"/>
  <c r="M331" i="4"/>
  <c r="F331" i="4"/>
  <c r="T214" i="4"/>
  <c r="S214" i="4"/>
  <c r="R214" i="4"/>
  <c r="U214" i="4" s="1"/>
  <c r="Q214" i="4"/>
  <c r="P214" i="4"/>
  <c r="W214" i="4" s="1"/>
  <c r="O214" i="4"/>
  <c r="N214" i="4"/>
  <c r="M214" i="4"/>
  <c r="F214" i="4"/>
  <c r="T92" i="4"/>
  <c r="S92" i="4"/>
  <c r="R92" i="4"/>
  <c r="U92" i="4" s="1"/>
  <c r="Q92" i="4"/>
  <c r="P92" i="4"/>
  <c r="W92" i="4" s="1"/>
  <c r="O92" i="4"/>
  <c r="N92" i="4"/>
  <c r="M92" i="4"/>
  <c r="F92" i="4"/>
  <c r="T236" i="4"/>
  <c r="S236" i="4"/>
  <c r="R236" i="4"/>
  <c r="U236" i="4" s="1"/>
  <c r="Q236" i="4"/>
  <c r="P236" i="4"/>
  <c r="W236" i="4" s="1"/>
  <c r="O236" i="4"/>
  <c r="N236" i="4"/>
  <c r="M236" i="4"/>
  <c r="F236" i="4"/>
  <c r="T86" i="4"/>
  <c r="S86" i="4"/>
  <c r="R86" i="4"/>
  <c r="U86" i="4" s="1"/>
  <c r="Q86" i="4"/>
  <c r="P86" i="4"/>
  <c r="W86" i="4" s="1"/>
  <c r="O86" i="4"/>
  <c r="N86" i="4"/>
  <c r="M86" i="4"/>
  <c r="F86" i="4"/>
  <c r="T327" i="4"/>
  <c r="S327" i="4"/>
  <c r="R327" i="4"/>
  <c r="U327" i="4" s="1"/>
  <c r="Q327" i="4"/>
  <c r="P327" i="4"/>
  <c r="W327" i="4" s="1"/>
  <c r="O327" i="4"/>
  <c r="N327" i="4"/>
  <c r="M327" i="4"/>
  <c r="F327" i="4"/>
  <c r="T210" i="4"/>
  <c r="S210" i="4"/>
  <c r="R210" i="4"/>
  <c r="U210" i="4" s="1"/>
  <c r="Q210" i="4"/>
  <c r="P210" i="4"/>
  <c r="W210" i="4" s="1"/>
  <c r="O210" i="4"/>
  <c r="N210" i="4"/>
  <c r="M210" i="4"/>
  <c r="F210" i="4"/>
  <c r="T87" i="4"/>
  <c r="S87" i="4"/>
  <c r="R87" i="4"/>
  <c r="U87" i="4" s="1"/>
  <c r="Q87" i="4"/>
  <c r="P87" i="4"/>
  <c r="W87" i="4" s="1"/>
  <c r="O87" i="4"/>
  <c r="N87" i="4"/>
  <c r="M87" i="4"/>
  <c r="F87" i="4"/>
  <c r="T246" i="4"/>
  <c r="S246" i="4"/>
  <c r="R246" i="4"/>
  <c r="U246" i="4" s="1"/>
  <c r="Q246" i="4"/>
  <c r="P246" i="4"/>
  <c r="W246" i="4" s="1"/>
  <c r="O246" i="4"/>
  <c r="N246" i="4"/>
  <c r="M246" i="4"/>
  <c r="F246" i="4"/>
  <c r="T88" i="4"/>
  <c r="S88" i="4"/>
  <c r="R88" i="4"/>
  <c r="U88" i="4" s="1"/>
  <c r="Q88" i="4"/>
  <c r="P88" i="4"/>
  <c r="W88" i="4" s="1"/>
  <c r="O88" i="4"/>
  <c r="N88" i="4"/>
  <c r="M88" i="4"/>
  <c r="F88" i="4"/>
  <c r="T315" i="4"/>
  <c r="S315" i="4"/>
  <c r="R315" i="4"/>
  <c r="U315" i="4" s="1"/>
  <c r="Q315" i="4"/>
  <c r="P315" i="4"/>
  <c r="W315" i="4" s="1"/>
  <c r="O315" i="4"/>
  <c r="N315" i="4"/>
  <c r="M315" i="4"/>
  <c r="F315" i="4"/>
  <c r="T152" i="4"/>
  <c r="S152" i="4"/>
  <c r="R152" i="4"/>
  <c r="U152" i="4" s="1"/>
  <c r="Q152" i="4"/>
  <c r="P152" i="4"/>
  <c r="W152" i="4" s="1"/>
  <c r="O152" i="4"/>
  <c r="N152" i="4"/>
  <c r="M152" i="4"/>
  <c r="F152" i="4"/>
  <c r="T339" i="4"/>
  <c r="S339" i="4"/>
  <c r="R339" i="4"/>
  <c r="U339" i="4" s="1"/>
  <c r="Q339" i="4"/>
  <c r="P339" i="4"/>
  <c r="W339" i="4" s="1"/>
  <c r="O339" i="4"/>
  <c r="N339" i="4"/>
  <c r="M339" i="4"/>
  <c r="F339" i="4"/>
  <c r="T229" i="4" l="1"/>
  <c r="S229" i="4"/>
  <c r="R229" i="4"/>
  <c r="U229" i="4" s="1"/>
  <c r="Q229" i="4"/>
  <c r="P229" i="4"/>
  <c r="W229" i="4" s="1"/>
  <c r="O229" i="4"/>
  <c r="N229" i="4"/>
  <c r="M229" i="4"/>
  <c r="F229" i="4"/>
  <c r="T375" i="4"/>
  <c r="S375" i="4"/>
  <c r="R375" i="4"/>
  <c r="U375" i="4" s="1"/>
  <c r="Q375" i="4"/>
  <c r="P375" i="4"/>
  <c r="W375" i="4" s="1"/>
  <c r="O375" i="4"/>
  <c r="N375" i="4"/>
  <c r="M375" i="4"/>
  <c r="F375" i="4"/>
  <c r="T273" i="4"/>
  <c r="S273" i="4"/>
  <c r="R273" i="4"/>
  <c r="U273" i="4" s="1"/>
  <c r="Q273" i="4"/>
  <c r="P273" i="4"/>
  <c r="W273" i="4" s="1"/>
  <c r="O273" i="4"/>
  <c r="N273" i="4"/>
  <c r="M273" i="4"/>
  <c r="F273" i="4"/>
  <c r="T322" i="4"/>
  <c r="S322" i="4"/>
  <c r="R322" i="4"/>
  <c r="U322" i="4" s="1"/>
  <c r="Q322" i="4"/>
  <c r="P322" i="4"/>
  <c r="W322" i="4" s="1"/>
  <c r="O322" i="4"/>
  <c r="N322" i="4"/>
  <c r="M322" i="4"/>
  <c r="F322" i="4"/>
  <c r="T215" i="4"/>
  <c r="S215" i="4"/>
  <c r="R215" i="4"/>
  <c r="U215" i="4" s="1"/>
  <c r="Q215" i="4"/>
  <c r="P215" i="4"/>
  <c r="W215" i="4" s="1"/>
  <c r="O215" i="4"/>
  <c r="N215" i="4"/>
  <c r="M215" i="4"/>
  <c r="F215" i="4"/>
  <c r="T343" i="4"/>
  <c r="S343" i="4"/>
  <c r="R343" i="4"/>
  <c r="U343" i="4" s="1"/>
  <c r="Q343" i="4"/>
  <c r="P343" i="4"/>
  <c r="W343" i="4" s="1"/>
  <c r="O343" i="4"/>
  <c r="N343" i="4"/>
  <c r="M343" i="4"/>
  <c r="F343" i="4"/>
  <c r="T208" i="4"/>
  <c r="S208" i="4"/>
  <c r="R208" i="4"/>
  <c r="U208" i="4" s="1"/>
  <c r="Q208" i="4"/>
  <c r="P208" i="4"/>
  <c r="W208" i="4" s="1"/>
  <c r="O208" i="4"/>
  <c r="N208" i="4"/>
  <c r="M208" i="4"/>
  <c r="F208" i="4"/>
  <c r="T353" i="4"/>
  <c r="S353" i="4"/>
  <c r="R353" i="4"/>
  <c r="U353" i="4" s="1"/>
  <c r="Q353" i="4"/>
  <c r="P353" i="4"/>
  <c r="W353" i="4" s="1"/>
  <c r="O353" i="4"/>
  <c r="N353" i="4"/>
  <c r="M353" i="4"/>
  <c r="F353" i="4"/>
  <c r="T314" i="4"/>
  <c r="S314" i="4"/>
  <c r="R314" i="4"/>
  <c r="U314" i="4" s="1"/>
  <c r="Q314" i="4"/>
  <c r="P314" i="4"/>
  <c r="W314" i="4" s="1"/>
  <c r="O314" i="4"/>
  <c r="N314" i="4"/>
  <c r="M314" i="4"/>
  <c r="F314" i="4"/>
  <c r="T294" i="4"/>
  <c r="S294" i="4"/>
  <c r="R294" i="4"/>
  <c r="U294" i="4" s="1"/>
  <c r="Q294" i="4"/>
  <c r="P294" i="4"/>
  <c r="W294" i="4" s="1"/>
  <c r="O294" i="4"/>
  <c r="N294" i="4"/>
  <c r="M294" i="4"/>
  <c r="F294" i="4"/>
  <c r="T135" i="4"/>
  <c r="S135" i="4"/>
  <c r="R135" i="4"/>
  <c r="U135" i="4" s="1"/>
  <c r="Q135" i="4"/>
  <c r="P135" i="4"/>
  <c r="W135" i="4" s="1"/>
  <c r="O135" i="4"/>
  <c r="N135" i="4"/>
  <c r="M135" i="4"/>
  <c r="F135" i="4"/>
  <c r="T58" i="4" l="1"/>
  <c r="S58" i="4"/>
  <c r="R58" i="4"/>
  <c r="U58" i="4" s="1"/>
  <c r="Q58" i="4"/>
  <c r="P58" i="4"/>
  <c r="W58" i="4" s="1"/>
  <c r="O58" i="4"/>
  <c r="N58" i="4"/>
  <c r="M58" i="4"/>
  <c r="F58" i="4"/>
  <c r="T286" i="4"/>
  <c r="S286" i="4"/>
  <c r="R286" i="4"/>
  <c r="U286" i="4" s="1"/>
  <c r="Q286" i="4"/>
  <c r="P286" i="4"/>
  <c r="W286" i="4" s="1"/>
  <c r="O286" i="4"/>
  <c r="N286" i="4"/>
  <c r="M286" i="4"/>
  <c r="F286" i="4"/>
  <c r="T187" i="4"/>
  <c r="S187" i="4"/>
  <c r="R187" i="4"/>
  <c r="U187" i="4" s="1"/>
  <c r="Q187" i="4"/>
  <c r="P187" i="4"/>
  <c r="W187" i="4" s="1"/>
  <c r="O187" i="4"/>
  <c r="N187" i="4"/>
  <c r="M187" i="4"/>
  <c r="F187" i="4"/>
  <c r="T153" i="4"/>
  <c r="S153" i="4"/>
  <c r="R153" i="4"/>
  <c r="U153" i="4" s="1"/>
  <c r="Q153" i="4"/>
  <c r="P153" i="4"/>
  <c r="W153" i="4" s="1"/>
  <c r="O153" i="4"/>
  <c r="N153" i="4"/>
  <c r="M153" i="4"/>
  <c r="F153" i="4"/>
  <c r="T348" i="4"/>
  <c r="S348" i="4"/>
  <c r="R348" i="4"/>
  <c r="U348" i="4" s="1"/>
  <c r="Q348" i="4"/>
  <c r="P348" i="4"/>
  <c r="W348" i="4" s="1"/>
  <c r="O348" i="4"/>
  <c r="N348" i="4"/>
  <c r="M348" i="4"/>
  <c r="F348" i="4"/>
  <c r="C46" i="8"/>
  <c r="C47" i="8"/>
  <c r="C48" i="8"/>
  <c r="C49" i="8"/>
  <c r="T34" i="4" l="1"/>
  <c r="S34" i="4"/>
  <c r="R34" i="4"/>
  <c r="U34" i="4" s="1"/>
  <c r="Q34" i="4"/>
  <c r="P34" i="4"/>
  <c r="W34" i="4" s="1"/>
  <c r="O34" i="4"/>
  <c r="N34" i="4"/>
  <c r="M34" i="4"/>
  <c r="F34" i="4"/>
  <c r="T274" i="4"/>
  <c r="S274" i="4"/>
  <c r="R274" i="4"/>
  <c r="U274" i="4" s="1"/>
  <c r="Q274" i="4"/>
  <c r="P274" i="4"/>
  <c r="W274" i="4" s="1"/>
  <c r="O274" i="4"/>
  <c r="N274" i="4"/>
  <c r="M274" i="4"/>
  <c r="F274" i="4"/>
  <c r="T194" i="4"/>
  <c r="S194" i="4"/>
  <c r="R194" i="4"/>
  <c r="U194" i="4" s="1"/>
  <c r="Q194" i="4"/>
  <c r="P194" i="4"/>
  <c r="W194" i="4" s="1"/>
  <c r="O194" i="4"/>
  <c r="N194" i="4"/>
  <c r="M194" i="4"/>
  <c r="F194" i="4"/>
  <c r="T216" i="4"/>
  <c r="S216" i="4"/>
  <c r="R216" i="4"/>
  <c r="U216" i="4" s="1"/>
  <c r="Q216" i="4"/>
  <c r="P216" i="4"/>
  <c r="W216" i="4" s="1"/>
  <c r="O216" i="4"/>
  <c r="N216" i="4"/>
  <c r="M216" i="4"/>
  <c r="F216" i="4"/>
  <c r="T344" i="4"/>
  <c r="S344" i="4"/>
  <c r="R344" i="4"/>
  <c r="U344" i="4" s="1"/>
  <c r="Q344" i="4"/>
  <c r="P344" i="4"/>
  <c r="W344" i="4" s="1"/>
  <c r="O344" i="4"/>
  <c r="N344" i="4"/>
  <c r="M344" i="4"/>
  <c r="F344" i="4"/>
  <c r="T42" i="4"/>
  <c r="S42" i="4"/>
  <c r="R42" i="4"/>
  <c r="U42" i="4" s="1"/>
  <c r="Q42" i="4"/>
  <c r="P42" i="4"/>
  <c r="W42" i="4" s="1"/>
  <c r="O42" i="4"/>
  <c r="N42" i="4"/>
  <c r="M42" i="4"/>
  <c r="F42" i="4"/>
  <c r="T287" i="4"/>
  <c r="S287" i="4"/>
  <c r="R287" i="4"/>
  <c r="U287" i="4" s="1"/>
  <c r="Q287" i="4"/>
  <c r="P287" i="4"/>
  <c r="W287" i="4" s="1"/>
  <c r="O287" i="4"/>
  <c r="N287" i="4"/>
  <c r="M287" i="4"/>
  <c r="F287" i="4"/>
  <c r="T177" i="4"/>
  <c r="S177" i="4"/>
  <c r="R177" i="4"/>
  <c r="U177" i="4" s="1"/>
  <c r="Q177" i="4"/>
  <c r="P177" i="4"/>
  <c r="W177" i="4" s="1"/>
  <c r="O177" i="4"/>
  <c r="N177" i="4"/>
  <c r="M177" i="4"/>
  <c r="F177" i="4"/>
  <c r="T205" i="4"/>
  <c r="S205" i="4"/>
  <c r="R205" i="4"/>
  <c r="U205" i="4" s="1"/>
  <c r="Q205" i="4"/>
  <c r="P205" i="4"/>
  <c r="W205" i="4" s="1"/>
  <c r="O205" i="4"/>
  <c r="N205" i="4"/>
  <c r="M205" i="4"/>
  <c r="F205" i="4"/>
  <c r="T354" i="4"/>
  <c r="S354" i="4"/>
  <c r="R354" i="4"/>
  <c r="U354" i="4" s="1"/>
  <c r="Q354" i="4"/>
  <c r="P354" i="4"/>
  <c r="W354" i="4" s="1"/>
  <c r="O354" i="4"/>
  <c r="N354" i="4"/>
  <c r="M354" i="4"/>
  <c r="F354" i="4"/>
  <c r="T295" i="4" l="1"/>
  <c r="S295" i="4"/>
  <c r="R295" i="4"/>
  <c r="U295" i="4" s="1"/>
  <c r="Q295" i="4"/>
  <c r="P295" i="4"/>
  <c r="W295" i="4" s="1"/>
  <c r="O295" i="4"/>
  <c r="N295" i="4"/>
  <c r="M295" i="4"/>
  <c r="F295" i="4"/>
  <c r="T349" i="4"/>
  <c r="S349" i="4"/>
  <c r="R349" i="4"/>
  <c r="U349" i="4" s="1"/>
  <c r="Q349" i="4"/>
  <c r="P349" i="4"/>
  <c r="W349" i="4" s="1"/>
  <c r="O349" i="4"/>
  <c r="N349" i="4"/>
  <c r="M349" i="4"/>
  <c r="F349" i="4"/>
  <c r="T49" i="4"/>
  <c r="S49" i="4"/>
  <c r="R49" i="4"/>
  <c r="U49" i="4" s="1"/>
  <c r="Q49" i="4"/>
  <c r="P49" i="4"/>
  <c r="W49" i="4" s="1"/>
  <c r="O49" i="4"/>
  <c r="N49" i="4"/>
  <c r="M49" i="4"/>
  <c r="F49" i="4"/>
  <c r="T188" i="4" l="1"/>
  <c r="S188" i="4"/>
  <c r="R188" i="4"/>
  <c r="U188" i="4" s="1"/>
  <c r="Q188" i="4"/>
  <c r="P188" i="4"/>
  <c r="W188" i="4" s="1"/>
  <c r="O188" i="4"/>
  <c r="N188" i="4"/>
  <c r="M188" i="4"/>
  <c r="F188" i="4"/>
  <c r="T203" i="4"/>
  <c r="S203" i="4"/>
  <c r="R203" i="4"/>
  <c r="U203" i="4" s="1"/>
  <c r="Q203" i="4"/>
  <c r="P203" i="4"/>
  <c r="W203" i="4" s="1"/>
  <c r="O203" i="4"/>
  <c r="N203" i="4"/>
  <c r="M203" i="4"/>
  <c r="F203" i="4"/>
  <c r="T102" i="4"/>
  <c r="T103" i="4"/>
  <c r="T195" i="4"/>
  <c r="T217" i="4"/>
  <c r="T104" i="4"/>
  <c r="T46" i="4"/>
  <c r="T114" i="4"/>
  <c r="T4" i="6"/>
  <c r="T178" i="4"/>
  <c r="T115" i="4"/>
  <c r="T140" i="4"/>
  <c r="S102" i="4"/>
  <c r="R102" i="4"/>
  <c r="U102" i="4" s="1"/>
  <c r="Q102" i="4"/>
  <c r="P102" i="4"/>
  <c r="W102" i="4" s="1"/>
  <c r="O102" i="4"/>
  <c r="N102" i="4"/>
  <c r="M102" i="4"/>
  <c r="F102" i="4"/>
  <c r="S103" i="4"/>
  <c r="R103" i="4"/>
  <c r="U103" i="4" s="1"/>
  <c r="Q103" i="4"/>
  <c r="P103" i="4"/>
  <c r="W103" i="4" s="1"/>
  <c r="O103" i="4"/>
  <c r="N103" i="4"/>
  <c r="M103" i="4"/>
  <c r="F103" i="4"/>
  <c r="S195" i="4"/>
  <c r="R195" i="4"/>
  <c r="U195" i="4" s="1"/>
  <c r="Q195" i="4"/>
  <c r="P195" i="4"/>
  <c r="W195" i="4" s="1"/>
  <c r="O195" i="4"/>
  <c r="N195" i="4"/>
  <c r="M195" i="4"/>
  <c r="F195" i="4"/>
  <c r="S217" i="4"/>
  <c r="R217" i="4"/>
  <c r="U217" i="4" s="1"/>
  <c r="Q217" i="4"/>
  <c r="P217" i="4"/>
  <c r="W217" i="4" s="1"/>
  <c r="O217" i="4"/>
  <c r="N217" i="4"/>
  <c r="M217" i="4"/>
  <c r="F217" i="4"/>
  <c r="S104" i="4"/>
  <c r="R104" i="4"/>
  <c r="U104" i="4" s="1"/>
  <c r="Q104" i="4"/>
  <c r="P104" i="4"/>
  <c r="W104" i="4" s="1"/>
  <c r="O104" i="4"/>
  <c r="N104" i="4"/>
  <c r="M104" i="4"/>
  <c r="F104" i="4"/>
  <c r="S46" i="4"/>
  <c r="R46" i="4"/>
  <c r="U46" i="4" s="1"/>
  <c r="Q46" i="4"/>
  <c r="P46" i="4"/>
  <c r="W46" i="4" s="1"/>
  <c r="O46" i="4"/>
  <c r="N46" i="4"/>
  <c r="M46" i="4"/>
  <c r="F46" i="4"/>
  <c r="S114" i="4"/>
  <c r="R114" i="4"/>
  <c r="U114" i="4" s="1"/>
  <c r="Q114" i="4"/>
  <c r="P114" i="4"/>
  <c r="W114" i="4" s="1"/>
  <c r="O114" i="4"/>
  <c r="N114" i="4"/>
  <c r="M114" i="4"/>
  <c r="F114" i="4"/>
  <c r="S178" i="4"/>
  <c r="R178" i="4"/>
  <c r="U178" i="4" s="1"/>
  <c r="Q178" i="4"/>
  <c r="P178" i="4"/>
  <c r="W178" i="4" s="1"/>
  <c r="O178" i="4"/>
  <c r="N178" i="4"/>
  <c r="M178" i="4"/>
  <c r="F178" i="4"/>
  <c r="S115" i="4"/>
  <c r="R115" i="4"/>
  <c r="U115" i="4" s="1"/>
  <c r="Q115" i="4"/>
  <c r="P115" i="4"/>
  <c r="W115" i="4" s="1"/>
  <c r="O115" i="4"/>
  <c r="N115" i="4"/>
  <c r="M115" i="4"/>
  <c r="F115" i="4"/>
  <c r="S140" i="4"/>
  <c r="R140" i="4"/>
  <c r="U140" i="4" s="1"/>
  <c r="Q140" i="4"/>
  <c r="P140" i="4"/>
  <c r="W140" i="4" s="1"/>
  <c r="O140" i="4"/>
  <c r="N140" i="4"/>
  <c r="M140" i="4"/>
  <c r="F140" i="4"/>
  <c r="T43" i="4"/>
  <c r="S43" i="4"/>
  <c r="R43" i="4"/>
  <c r="U43" i="4" s="1"/>
  <c r="Q43" i="4"/>
  <c r="P43" i="4"/>
  <c r="W43" i="4" s="1"/>
  <c r="O43" i="4"/>
  <c r="N43" i="4"/>
  <c r="M43" i="4"/>
  <c r="F43" i="4"/>
  <c r="T288" i="4"/>
  <c r="S288" i="4"/>
  <c r="R288" i="4"/>
  <c r="U288" i="4" s="1"/>
  <c r="Q288" i="4"/>
  <c r="P288" i="4"/>
  <c r="W288" i="4" s="1"/>
  <c r="O288" i="4"/>
  <c r="N288" i="4"/>
  <c r="M288" i="4"/>
  <c r="F288" i="4"/>
  <c r="T175" i="4"/>
  <c r="S175" i="4"/>
  <c r="R175" i="4"/>
  <c r="U175" i="4" s="1"/>
  <c r="Q175" i="4"/>
  <c r="P175" i="4"/>
  <c r="W175" i="4" s="1"/>
  <c r="O175" i="4"/>
  <c r="N175" i="4"/>
  <c r="M175" i="4"/>
  <c r="F175" i="4"/>
  <c r="T204" i="4"/>
  <c r="S204" i="4"/>
  <c r="R204" i="4"/>
  <c r="U204" i="4" s="1"/>
  <c r="Q204" i="4"/>
  <c r="P204" i="4"/>
  <c r="W204" i="4" s="1"/>
  <c r="O204" i="4"/>
  <c r="N204" i="4"/>
  <c r="M204" i="4"/>
  <c r="F204" i="4"/>
  <c r="T324" i="4"/>
  <c r="S324" i="4"/>
  <c r="R324" i="4"/>
  <c r="U324" i="4" s="1"/>
  <c r="Q324" i="4"/>
  <c r="P324" i="4"/>
  <c r="W324" i="4" s="1"/>
  <c r="O324" i="4"/>
  <c r="N324" i="4"/>
  <c r="M324" i="4"/>
  <c r="F324" i="4"/>
  <c r="T35" i="4"/>
  <c r="S35" i="4"/>
  <c r="R35" i="4"/>
  <c r="U35" i="4" s="1"/>
  <c r="Q35" i="4"/>
  <c r="P35" i="4"/>
  <c r="W35" i="4" s="1"/>
  <c r="O35" i="4"/>
  <c r="N35" i="4"/>
  <c r="M35" i="4"/>
  <c r="F35" i="4"/>
  <c r="T36" i="4"/>
  <c r="S36" i="4"/>
  <c r="R36" i="4"/>
  <c r="U36" i="4" s="1"/>
  <c r="Q36" i="4"/>
  <c r="P36" i="4"/>
  <c r="W36" i="4" s="1"/>
  <c r="O36" i="4"/>
  <c r="N36" i="4"/>
  <c r="M36" i="4"/>
  <c r="F36" i="4"/>
  <c r="T275" i="4"/>
  <c r="S275" i="4"/>
  <c r="R275" i="4"/>
  <c r="U275" i="4" s="1"/>
  <c r="Q275" i="4"/>
  <c r="P275" i="4"/>
  <c r="W275" i="4" s="1"/>
  <c r="O275" i="4"/>
  <c r="N275" i="4"/>
  <c r="M275" i="4"/>
  <c r="F275" i="4"/>
  <c r="T196" i="4"/>
  <c r="S196" i="4"/>
  <c r="R196" i="4"/>
  <c r="U196" i="4" s="1"/>
  <c r="Q196" i="4"/>
  <c r="P196" i="4"/>
  <c r="W196" i="4" s="1"/>
  <c r="O196" i="4"/>
  <c r="N196" i="4"/>
  <c r="M196" i="4"/>
  <c r="F196" i="4"/>
  <c r="T218" i="4"/>
  <c r="S218" i="4"/>
  <c r="R218" i="4"/>
  <c r="U218" i="4" s="1"/>
  <c r="Q218" i="4"/>
  <c r="P218" i="4"/>
  <c r="W218" i="4" s="1"/>
  <c r="O218" i="4"/>
  <c r="N218" i="4"/>
  <c r="M218" i="4"/>
  <c r="F218" i="4"/>
  <c r="T345" i="4"/>
  <c r="S345" i="4"/>
  <c r="R345" i="4"/>
  <c r="U345" i="4" s="1"/>
  <c r="Q345" i="4"/>
  <c r="P345" i="4"/>
  <c r="W345" i="4" s="1"/>
  <c r="O345" i="4"/>
  <c r="N345" i="4"/>
  <c r="M345" i="4"/>
  <c r="F345" i="4"/>
  <c r="T116" i="4"/>
  <c r="S116" i="4"/>
  <c r="R116" i="4"/>
  <c r="U116" i="4" s="1"/>
  <c r="Q116" i="4"/>
  <c r="P116" i="4"/>
  <c r="W116" i="4" s="1"/>
  <c r="O116" i="4"/>
  <c r="N116" i="4"/>
  <c r="M116" i="4"/>
  <c r="F116" i="4"/>
  <c r="T129" i="4"/>
  <c r="S129" i="4"/>
  <c r="R129" i="4"/>
  <c r="U129" i="4" s="1"/>
  <c r="Q129" i="4"/>
  <c r="P129" i="4"/>
  <c r="W129" i="4" s="1"/>
  <c r="O129" i="4"/>
  <c r="N129" i="4"/>
  <c r="M129" i="4"/>
  <c r="F129" i="4"/>
  <c r="T179" i="4"/>
  <c r="S179" i="4"/>
  <c r="R179" i="4"/>
  <c r="U179" i="4" s="1"/>
  <c r="Q179" i="4"/>
  <c r="P179" i="4"/>
  <c r="W179" i="4" s="1"/>
  <c r="O179" i="4"/>
  <c r="N179" i="4"/>
  <c r="M179" i="4"/>
  <c r="F179" i="4"/>
  <c r="T156" i="4"/>
  <c r="S156" i="4"/>
  <c r="R156" i="4"/>
  <c r="U156" i="4" s="1"/>
  <c r="Q156" i="4"/>
  <c r="P156" i="4"/>
  <c r="W156" i="4" s="1"/>
  <c r="O156" i="4"/>
  <c r="N156" i="4"/>
  <c r="M156" i="4"/>
  <c r="F156" i="4"/>
  <c r="T355" i="4"/>
  <c r="S355" i="4"/>
  <c r="R355" i="4"/>
  <c r="U355" i="4" s="1"/>
  <c r="Q355" i="4"/>
  <c r="P355" i="4"/>
  <c r="W355" i="4" s="1"/>
  <c r="O355" i="4"/>
  <c r="N355" i="4"/>
  <c r="M355" i="4"/>
  <c r="F355" i="4"/>
  <c r="T39" i="4"/>
  <c r="S39" i="4"/>
  <c r="R39" i="4"/>
  <c r="U39" i="4" s="1"/>
  <c r="Q39" i="4"/>
  <c r="P39" i="4"/>
  <c r="W39" i="4" s="1"/>
  <c r="O39" i="4"/>
  <c r="N39" i="4"/>
  <c r="M39" i="4"/>
  <c r="F39" i="4"/>
  <c r="T277" i="4"/>
  <c r="S277" i="4"/>
  <c r="R277" i="4"/>
  <c r="U277" i="4" s="1"/>
  <c r="Q277" i="4"/>
  <c r="P277" i="4"/>
  <c r="W277" i="4" s="1"/>
  <c r="O277" i="4"/>
  <c r="N277" i="4"/>
  <c r="M277" i="4"/>
  <c r="F277" i="4"/>
  <c r="T171" i="4"/>
  <c r="S171" i="4"/>
  <c r="R171" i="4"/>
  <c r="U171" i="4" s="1"/>
  <c r="Q171" i="4"/>
  <c r="P171" i="4"/>
  <c r="W171" i="4" s="1"/>
  <c r="O171" i="4"/>
  <c r="N171" i="4"/>
  <c r="M171" i="4"/>
  <c r="F171" i="4"/>
  <c r="T154" i="4"/>
  <c r="S154" i="4"/>
  <c r="R154" i="4"/>
  <c r="U154" i="4" s="1"/>
  <c r="Q154" i="4"/>
  <c r="P154" i="4"/>
  <c r="W154" i="4" s="1"/>
  <c r="O154" i="4"/>
  <c r="N154" i="4"/>
  <c r="M154" i="4"/>
  <c r="F154" i="4"/>
  <c r="T340" i="4"/>
  <c r="S340" i="4"/>
  <c r="R340" i="4"/>
  <c r="U340" i="4" s="1"/>
  <c r="Q340" i="4"/>
  <c r="P340" i="4"/>
  <c r="W340" i="4" s="1"/>
  <c r="O340" i="4"/>
  <c r="N340" i="4"/>
  <c r="M340" i="4"/>
  <c r="F340" i="4"/>
  <c r="F198" i="4"/>
  <c r="F197" i="4"/>
  <c r="T276" i="4" l="1"/>
  <c r="S276" i="4"/>
  <c r="R276" i="4"/>
  <c r="U276" i="4" s="1"/>
  <c r="Q276" i="4"/>
  <c r="P276" i="4"/>
  <c r="W276" i="4" s="1"/>
  <c r="O276" i="4"/>
  <c r="N276" i="4"/>
  <c r="M276" i="4"/>
  <c r="T197" i="4"/>
  <c r="S197" i="4"/>
  <c r="R197" i="4"/>
  <c r="U197" i="4" s="1"/>
  <c r="Q197" i="4"/>
  <c r="P197" i="4"/>
  <c r="W197" i="4" s="1"/>
  <c r="O197" i="4"/>
  <c r="N197" i="4"/>
  <c r="M197" i="4"/>
  <c r="T198" i="4"/>
  <c r="S198" i="4"/>
  <c r="R198" i="4"/>
  <c r="U198" i="4" s="1"/>
  <c r="Q198" i="4"/>
  <c r="P198" i="4"/>
  <c r="W198" i="4" s="1"/>
  <c r="O198" i="4"/>
  <c r="N198" i="4"/>
  <c r="M198" i="4"/>
  <c r="T335" i="4"/>
  <c r="S335" i="4"/>
  <c r="R335" i="4"/>
  <c r="U335" i="4" s="1"/>
  <c r="Q335" i="4"/>
  <c r="P335" i="4"/>
  <c r="W335" i="4" s="1"/>
  <c r="O335" i="4"/>
  <c r="N335" i="4"/>
  <c r="M335" i="4"/>
  <c r="F335" i="4"/>
  <c r="T117" i="4"/>
  <c r="S117" i="4"/>
  <c r="R117" i="4"/>
  <c r="U117" i="4" s="1"/>
  <c r="Q117" i="4"/>
  <c r="P117" i="4"/>
  <c r="W117" i="4" s="1"/>
  <c r="O117" i="4"/>
  <c r="N117" i="4"/>
  <c r="M117" i="4"/>
  <c r="F117" i="4"/>
  <c r="T259" i="4"/>
  <c r="S259" i="4"/>
  <c r="R259" i="4"/>
  <c r="U259" i="4" s="1"/>
  <c r="Q259" i="4"/>
  <c r="P259" i="4"/>
  <c r="W259" i="4" s="1"/>
  <c r="O259" i="4"/>
  <c r="N259" i="4"/>
  <c r="M259" i="4"/>
  <c r="F259" i="4"/>
  <c r="T118" i="4"/>
  <c r="S118" i="4"/>
  <c r="R118" i="4"/>
  <c r="U118" i="4" s="1"/>
  <c r="Q118" i="4"/>
  <c r="P118" i="4"/>
  <c r="W118" i="4" s="1"/>
  <c r="O118" i="4"/>
  <c r="N118" i="4"/>
  <c r="M118" i="4"/>
  <c r="F118" i="4"/>
  <c r="T157" i="4"/>
  <c r="S157" i="4"/>
  <c r="R157" i="4"/>
  <c r="U157" i="4" s="1"/>
  <c r="Q157" i="4"/>
  <c r="P157" i="4"/>
  <c r="W157" i="4" s="1"/>
  <c r="O157" i="4"/>
  <c r="N157" i="4"/>
  <c r="M157" i="4"/>
  <c r="F157" i="4"/>
  <c r="T119" i="4"/>
  <c r="S119" i="4"/>
  <c r="R119" i="4"/>
  <c r="U119" i="4" s="1"/>
  <c r="Q119" i="4"/>
  <c r="P119" i="4"/>
  <c r="W119" i="4" s="1"/>
  <c r="O119" i="4"/>
  <c r="N119" i="4"/>
  <c r="M119" i="4"/>
  <c r="F119" i="4"/>
  <c r="T44" i="4"/>
  <c r="S44" i="4"/>
  <c r="R44" i="4"/>
  <c r="U44" i="4" s="1"/>
  <c r="Q44" i="4"/>
  <c r="P44" i="4"/>
  <c r="W44" i="4" s="1"/>
  <c r="O44" i="4"/>
  <c r="N44" i="4"/>
  <c r="M44" i="4"/>
  <c r="F44" i="4"/>
  <c r="T255" i="4"/>
  <c r="S255" i="4"/>
  <c r="R255" i="4"/>
  <c r="U255" i="4" s="1"/>
  <c r="Q255" i="4"/>
  <c r="P255" i="4"/>
  <c r="W255" i="4" s="1"/>
  <c r="O255" i="4"/>
  <c r="N255" i="4"/>
  <c r="M255" i="4"/>
  <c r="F255" i="4"/>
  <c r="T189" i="4"/>
  <c r="S189" i="4"/>
  <c r="R189" i="4"/>
  <c r="U189" i="4" s="1"/>
  <c r="Q189" i="4"/>
  <c r="P189" i="4"/>
  <c r="W189" i="4" s="1"/>
  <c r="O189" i="4"/>
  <c r="N189" i="4"/>
  <c r="M189" i="4"/>
  <c r="F189" i="4"/>
  <c r="T162" i="4"/>
  <c r="S162" i="4"/>
  <c r="R162" i="4"/>
  <c r="U162" i="4" s="1"/>
  <c r="Q162" i="4"/>
  <c r="P162" i="4"/>
  <c r="W162" i="4" s="1"/>
  <c r="O162" i="4"/>
  <c r="N162" i="4"/>
  <c r="M162" i="4"/>
  <c r="F162" i="4"/>
  <c r="T350" i="4"/>
  <c r="S350" i="4"/>
  <c r="R350" i="4"/>
  <c r="U350" i="4" s="1"/>
  <c r="Q350" i="4"/>
  <c r="P350" i="4"/>
  <c r="W350" i="4" s="1"/>
  <c r="O350" i="4"/>
  <c r="N350" i="4"/>
  <c r="M350" i="4"/>
  <c r="F350" i="4"/>
  <c r="F130" i="4" l="1"/>
  <c r="M130" i="4"/>
  <c r="N130" i="4"/>
  <c r="O130" i="4"/>
  <c r="P130" i="4"/>
  <c r="Q130" i="4"/>
  <c r="R130" i="4"/>
  <c r="U130" i="4" s="1"/>
  <c r="S130" i="4"/>
  <c r="T130" i="4"/>
  <c r="F131" i="4"/>
  <c r="M131" i="4"/>
  <c r="N131" i="4"/>
  <c r="O131" i="4"/>
  <c r="P131" i="4"/>
  <c r="Q131" i="4"/>
  <c r="R131" i="4"/>
  <c r="U131" i="4" s="1"/>
  <c r="S131" i="4"/>
  <c r="T131" i="4"/>
  <c r="T37" i="4"/>
  <c r="S37" i="4"/>
  <c r="R37" i="4"/>
  <c r="U37" i="4" s="1"/>
  <c r="Q37" i="4"/>
  <c r="P37" i="4"/>
  <c r="W37" i="4" s="1"/>
  <c r="O37" i="4"/>
  <c r="N37" i="4"/>
  <c r="M37" i="4"/>
  <c r="F37" i="4"/>
  <c r="T251" i="4"/>
  <c r="S251" i="4"/>
  <c r="R251" i="4"/>
  <c r="U251" i="4" s="1"/>
  <c r="Q251" i="4"/>
  <c r="P251" i="4"/>
  <c r="O251" i="4"/>
  <c r="N251" i="4"/>
  <c r="M251" i="4"/>
  <c r="F251" i="4"/>
  <c r="T199" i="4"/>
  <c r="S199" i="4"/>
  <c r="R199" i="4"/>
  <c r="U199" i="4" s="1"/>
  <c r="Q199" i="4"/>
  <c r="P199" i="4"/>
  <c r="O199" i="4"/>
  <c r="N199" i="4"/>
  <c r="M199" i="4"/>
  <c r="F199" i="4"/>
  <c r="T167" i="4"/>
  <c r="S167" i="4"/>
  <c r="R167" i="4"/>
  <c r="U167" i="4" s="1"/>
  <c r="Q167" i="4"/>
  <c r="P167" i="4"/>
  <c r="O167" i="4"/>
  <c r="N167" i="4"/>
  <c r="M167" i="4"/>
  <c r="F167" i="4"/>
  <c r="T346" i="4"/>
  <c r="S346" i="4"/>
  <c r="R346" i="4"/>
  <c r="U346" i="4" s="1"/>
  <c r="Q346" i="4"/>
  <c r="P346" i="4"/>
  <c r="O346" i="4"/>
  <c r="N346" i="4"/>
  <c r="M346" i="4"/>
  <c r="F346" i="4"/>
  <c r="T180" i="4"/>
  <c r="S180" i="4"/>
  <c r="R180" i="4"/>
  <c r="U180" i="4" s="1"/>
  <c r="Q180" i="4"/>
  <c r="P180" i="4"/>
  <c r="O180" i="4"/>
  <c r="N180" i="4"/>
  <c r="M180" i="4"/>
  <c r="F180" i="4"/>
  <c r="T158" i="4"/>
  <c r="S158" i="4"/>
  <c r="R158" i="4"/>
  <c r="U158" i="4" s="1"/>
  <c r="Q158" i="4"/>
  <c r="P158" i="4"/>
  <c r="O158" i="4"/>
  <c r="N158" i="4"/>
  <c r="M158" i="4"/>
  <c r="F158" i="4"/>
  <c r="T132" i="4"/>
  <c r="S132" i="4"/>
  <c r="R132" i="4"/>
  <c r="U132" i="4" s="1"/>
  <c r="Q132" i="4"/>
  <c r="P132" i="4"/>
  <c r="O132" i="4"/>
  <c r="N132" i="4"/>
  <c r="M132" i="4"/>
  <c r="F132" i="4"/>
  <c r="T59" i="4"/>
  <c r="S59" i="4"/>
  <c r="R59" i="4"/>
  <c r="U59" i="4" s="1"/>
  <c r="Q59" i="4"/>
  <c r="P59" i="4"/>
  <c r="O59" i="4"/>
  <c r="N59" i="4"/>
  <c r="M59" i="4"/>
  <c r="F59" i="4"/>
  <c r="T256" i="4"/>
  <c r="S256" i="4"/>
  <c r="R256" i="4"/>
  <c r="U256" i="4" s="1"/>
  <c r="Q256" i="4"/>
  <c r="P256" i="4"/>
  <c r="O256" i="4"/>
  <c r="N256" i="4"/>
  <c r="M256" i="4"/>
  <c r="F256" i="4"/>
  <c r="T172" i="4"/>
  <c r="S172" i="4"/>
  <c r="R172" i="4"/>
  <c r="U172" i="4" s="1"/>
  <c r="Q172" i="4"/>
  <c r="P172" i="4"/>
  <c r="O172" i="4"/>
  <c r="N172" i="4"/>
  <c r="M172" i="4"/>
  <c r="F172" i="4"/>
  <c r="T163" i="4"/>
  <c r="S163" i="4"/>
  <c r="R163" i="4"/>
  <c r="U163" i="4" s="1"/>
  <c r="Q163" i="4"/>
  <c r="P163" i="4"/>
  <c r="O163" i="4"/>
  <c r="N163" i="4"/>
  <c r="M163" i="4"/>
  <c r="F163" i="4"/>
  <c r="T351" i="4"/>
  <c r="S351" i="4"/>
  <c r="R351" i="4"/>
  <c r="U351" i="4" s="1"/>
  <c r="Q351" i="4"/>
  <c r="P351" i="4"/>
  <c r="O351" i="4"/>
  <c r="N351" i="4"/>
  <c r="M351" i="4"/>
  <c r="F351" i="4"/>
  <c r="T38" i="4"/>
  <c r="S38" i="4"/>
  <c r="R38" i="4"/>
  <c r="U38" i="4" s="1"/>
  <c r="Q38" i="4"/>
  <c r="P38" i="4"/>
  <c r="W38" i="4" s="1"/>
  <c r="O38" i="4"/>
  <c r="N38" i="4"/>
  <c r="M38" i="4"/>
  <c r="F38" i="4"/>
  <c r="T200" i="4"/>
  <c r="S200" i="4"/>
  <c r="R200" i="4"/>
  <c r="U200" i="4" s="1"/>
  <c r="Q200" i="4"/>
  <c r="P200" i="4"/>
  <c r="W200" i="4" s="1"/>
  <c r="O200" i="4"/>
  <c r="N200" i="4"/>
  <c r="M200" i="4"/>
  <c r="F200" i="4"/>
  <c r="S4" i="6"/>
  <c r="R4" i="6"/>
  <c r="U4" i="6" s="1"/>
  <c r="Q4" i="6"/>
  <c r="P4" i="6"/>
  <c r="W4" i="6" s="1"/>
  <c r="O4" i="6"/>
  <c r="N4" i="6"/>
  <c r="M4" i="6"/>
  <c r="T252" i="4"/>
  <c r="S252" i="4"/>
  <c r="R252" i="4"/>
  <c r="U252" i="4" s="1"/>
  <c r="Q252" i="4"/>
  <c r="P252" i="4"/>
  <c r="W252" i="4" s="1"/>
  <c r="O252" i="4"/>
  <c r="N252" i="4"/>
  <c r="M252" i="4"/>
  <c r="F252" i="4"/>
  <c r="W351" i="4" l="1"/>
  <c r="W172" i="4"/>
  <c r="W59" i="4"/>
  <c r="W158" i="4"/>
  <c r="W346" i="4"/>
  <c r="W199" i="4"/>
  <c r="W130" i="4"/>
  <c r="W163" i="4"/>
  <c r="W256" i="4"/>
  <c r="W132" i="4"/>
  <c r="W180" i="4"/>
  <c r="W167" i="4"/>
  <c r="W251" i="4"/>
  <c r="W131" i="4"/>
  <c r="T168" i="4"/>
  <c r="S168" i="4"/>
  <c r="R168" i="4"/>
  <c r="U168" i="4" s="1"/>
  <c r="Q168" i="4"/>
  <c r="P168" i="4"/>
  <c r="W168" i="4" s="1"/>
  <c r="O168" i="4"/>
  <c r="N168" i="4"/>
  <c r="M168" i="4"/>
  <c r="F168" i="4"/>
  <c r="T347" i="4"/>
  <c r="S347" i="4"/>
  <c r="R347" i="4"/>
  <c r="U347" i="4" s="1"/>
  <c r="Q347" i="4"/>
  <c r="P347" i="4"/>
  <c r="W347" i="4" s="1"/>
  <c r="O347" i="4"/>
  <c r="N347" i="4"/>
  <c r="M347" i="4"/>
  <c r="F347" i="4"/>
  <c r="T159" i="4"/>
  <c r="S159" i="4"/>
  <c r="R159" i="4"/>
  <c r="U159" i="4" s="1"/>
  <c r="Q159" i="4"/>
  <c r="P159" i="4"/>
  <c r="W159" i="4" s="1"/>
  <c r="O159" i="4"/>
  <c r="N159" i="4"/>
  <c r="M159" i="4"/>
  <c r="F159" i="4"/>
  <c r="T50" i="4"/>
  <c r="S50" i="4"/>
  <c r="R50" i="4"/>
  <c r="U50" i="4" s="1"/>
  <c r="Q50" i="4"/>
  <c r="P50" i="4"/>
  <c r="W50" i="4" s="1"/>
  <c r="O50" i="4"/>
  <c r="N50" i="4"/>
  <c r="M50" i="4"/>
  <c r="F50" i="4"/>
  <c r="T261" i="4"/>
  <c r="S261" i="4"/>
  <c r="R261" i="4"/>
  <c r="U261" i="4" s="1"/>
  <c r="Q261" i="4"/>
  <c r="P261" i="4"/>
  <c r="W261" i="4" s="1"/>
  <c r="O261" i="4"/>
  <c r="N261" i="4"/>
  <c r="M261" i="4"/>
  <c r="F261" i="4"/>
  <c r="T181" i="4"/>
  <c r="S181" i="4"/>
  <c r="R181" i="4"/>
  <c r="U181" i="4" s="1"/>
  <c r="Q181" i="4"/>
  <c r="P181" i="4"/>
  <c r="W181" i="4" s="1"/>
  <c r="O181" i="4"/>
  <c r="N181" i="4"/>
  <c r="M181" i="4"/>
  <c r="F181" i="4"/>
  <c r="T356" i="4" l="1"/>
  <c r="S356" i="4"/>
  <c r="R356" i="4"/>
  <c r="U356" i="4" s="1"/>
  <c r="Q356" i="4"/>
  <c r="P356" i="4"/>
  <c r="W356" i="4" s="1"/>
  <c r="O356" i="4"/>
  <c r="N356" i="4"/>
  <c r="M356" i="4"/>
  <c r="F356" i="4"/>
  <c r="T60" i="4"/>
  <c r="S60" i="4"/>
  <c r="R60" i="4"/>
  <c r="U60" i="4" s="1"/>
  <c r="Q60" i="4"/>
  <c r="P60" i="4"/>
  <c r="W60" i="4" s="1"/>
  <c r="O60" i="4"/>
  <c r="N60" i="4"/>
  <c r="M60" i="4"/>
  <c r="F60" i="4"/>
  <c r="T257" i="4"/>
  <c r="S257" i="4"/>
  <c r="R257" i="4"/>
  <c r="U257" i="4" s="1"/>
  <c r="Q257" i="4"/>
  <c r="P257" i="4"/>
  <c r="W257" i="4" s="1"/>
  <c r="O257" i="4"/>
  <c r="N257" i="4"/>
  <c r="M257" i="4"/>
  <c r="F257" i="4"/>
  <c r="T173" i="4"/>
  <c r="S173" i="4"/>
  <c r="R173" i="4"/>
  <c r="U173" i="4" s="1"/>
  <c r="Q173" i="4"/>
  <c r="P173" i="4"/>
  <c r="W173" i="4" s="1"/>
  <c r="O173" i="4"/>
  <c r="N173" i="4"/>
  <c r="M173" i="4"/>
  <c r="F173" i="4"/>
  <c r="T164" i="4"/>
  <c r="S164" i="4"/>
  <c r="R164" i="4"/>
  <c r="U164" i="4" s="1"/>
  <c r="Q164" i="4"/>
  <c r="P164" i="4"/>
  <c r="W164" i="4" s="1"/>
  <c r="O164" i="4"/>
  <c r="N164" i="4"/>
  <c r="M164" i="4"/>
  <c r="F164" i="4"/>
  <c r="T352" i="4"/>
  <c r="S352" i="4"/>
  <c r="R352" i="4"/>
  <c r="U352" i="4" s="1"/>
  <c r="Q352" i="4"/>
  <c r="P352" i="4"/>
  <c r="W352" i="4" s="1"/>
  <c r="O352" i="4"/>
  <c r="N352" i="4"/>
  <c r="M352" i="4"/>
  <c r="F352" i="4"/>
  <c r="E49" i="11" l="1"/>
  <c r="E50" i="11"/>
  <c r="E51" i="11"/>
  <c r="E52" i="11"/>
  <c r="E53" i="11"/>
  <c r="E54" i="11"/>
  <c r="E48" i="11"/>
  <c r="H51" i="11"/>
  <c r="H52" i="11"/>
  <c r="H53" i="11"/>
  <c r="H54" i="11"/>
  <c r="D50" i="11"/>
  <c r="H50" i="11" s="1"/>
  <c r="D49" i="11"/>
  <c r="H49" i="11" s="1"/>
  <c r="D48" i="11"/>
  <c r="H48" i="11" s="1"/>
  <c r="B49" i="11"/>
  <c r="B50" i="11"/>
  <c r="B51" i="11"/>
  <c r="B52" i="11"/>
  <c r="B53" i="11"/>
  <c r="B54" i="11"/>
  <c r="B48" i="11"/>
  <c r="E5" i="11"/>
  <c r="E6" i="11"/>
  <c r="E7" i="11"/>
  <c r="E8" i="11"/>
  <c r="E9" i="11"/>
  <c r="E4" i="11"/>
  <c r="B39" i="8"/>
  <c r="D46" i="11"/>
  <c r="H46" i="11" s="1"/>
  <c r="D45" i="11"/>
  <c r="H45" i="11" s="1"/>
  <c r="D44" i="11"/>
  <c r="H44" i="11" s="1"/>
  <c r="D43" i="11"/>
  <c r="H43" i="11" s="1"/>
  <c r="D41" i="11"/>
  <c r="H41" i="11" s="1"/>
  <c r="D40" i="11"/>
  <c r="H40" i="11" s="1"/>
  <c r="D39" i="11"/>
  <c r="H39" i="11" s="1"/>
  <c r="D38" i="11"/>
  <c r="H38" i="11" s="1"/>
  <c r="D37" i="11"/>
  <c r="H37" i="11" s="1"/>
  <c r="D36" i="11"/>
  <c r="H36" i="11" s="1"/>
  <c r="D35" i="11"/>
  <c r="H35" i="11" s="1"/>
  <c r="D34" i="11"/>
  <c r="H34" i="11" s="1"/>
  <c r="D33" i="11"/>
  <c r="H33" i="11" s="1"/>
  <c r="D32" i="11"/>
  <c r="H32" i="11" s="1"/>
  <c r="D30" i="11"/>
  <c r="H30" i="11" s="1"/>
  <c r="D29" i="11"/>
  <c r="H29" i="11" s="1"/>
  <c r="D28" i="11"/>
  <c r="H28" i="11" s="1"/>
  <c r="D27" i="11"/>
  <c r="H27" i="11" s="1"/>
  <c r="D26" i="11"/>
  <c r="H26" i="11" s="1"/>
  <c r="D18" i="11"/>
  <c r="H18" i="11" s="1"/>
  <c r="D19" i="11"/>
  <c r="H19" i="11" s="1"/>
  <c r="D20" i="11"/>
  <c r="H20" i="11" s="1"/>
  <c r="D21" i="11"/>
  <c r="H21" i="11" s="1"/>
  <c r="D22" i="11"/>
  <c r="H22" i="11" s="1"/>
  <c r="D23" i="11"/>
  <c r="H23" i="11" s="1"/>
  <c r="D24" i="11"/>
  <c r="H24" i="11" s="1"/>
  <c r="C26" i="11"/>
  <c r="C27" i="11"/>
  <c r="C28" i="11"/>
  <c r="C29" i="11"/>
  <c r="C30" i="11"/>
  <c r="C32" i="11"/>
  <c r="C33" i="11"/>
  <c r="C34" i="11"/>
  <c r="C35" i="11"/>
  <c r="C36" i="11"/>
  <c r="C37" i="11"/>
  <c r="C38" i="11"/>
  <c r="C39" i="11"/>
  <c r="C40" i="11"/>
  <c r="C41" i="11"/>
  <c r="C43" i="11"/>
  <c r="C44" i="11"/>
  <c r="C45" i="11"/>
  <c r="C46" i="11"/>
  <c r="C18" i="11"/>
  <c r="C19" i="11"/>
  <c r="C20" i="11"/>
  <c r="C21" i="11"/>
  <c r="C22" i="11"/>
  <c r="C23" i="11"/>
  <c r="C24" i="11"/>
  <c r="E17" i="11"/>
  <c r="E18" i="11"/>
  <c r="E19" i="11"/>
  <c r="E20" i="11"/>
  <c r="E21" i="11"/>
  <c r="E22" i="11"/>
  <c r="E23" i="11"/>
  <c r="E24" i="11"/>
  <c r="E26" i="11"/>
  <c r="E27" i="11"/>
  <c r="E28" i="11"/>
  <c r="E29" i="11"/>
  <c r="E30" i="11"/>
  <c r="E32" i="11"/>
  <c r="E33" i="11"/>
  <c r="E34" i="11"/>
  <c r="E35" i="11"/>
  <c r="E36" i="11"/>
  <c r="E37" i="11"/>
  <c r="E38" i="11"/>
  <c r="E39" i="11"/>
  <c r="E40" i="11"/>
  <c r="E41" i="11"/>
  <c r="E43" i="11"/>
  <c r="E44" i="11"/>
  <c r="E45" i="11"/>
  <c r="E46" i="11"/>
  <c r="E55" i="11"/>
  <c r="D17" i="11"/>
  <c r="H17" i="11" s="1"/>
  <c r="C17" i="11"/>
  <c r="B46" i="11"/>
  <c r="B45" i="11"/>
  <c r="B44" i="11"/>
  <c r="B43" i="11"/>
  <c r="B41" i="11"/>
  <c r="B40" i="11"/>
  <c r="B39" i="11"/>
  <c r="B38" i="11"/>
  <c r="B37" i="11"/>
  <c r="B36" i="11"/>
  <c r="B35" i="11"/>
  <c r="B34" i="11"/>
  <c r="B33" i="11"/>
  <c r="B32" i="11"/>
  <c r="B30" i="11"/>
  <c r="B29" i="11"/>
  <c r="B28" i="11"/>
  <c r="B27" i="11"/>
  <c r="B26" i="11"/>
  <c r="B24" i="11"/>
  <c r="B23" i="11"/>
  <c r="B22" i="11"/>
  <c r="B21" i="11"/>
  <c r="B20" i="11"/>
  <c r="B19" i="11"/>
  <c r="B18" i="11"/>
  <c r="B17" i="11"/>
  <c r="E10" i="11" l="1"/>
  <c r="D31" i="5"/>
  <c r="D32" i="5"/>
  <c r="D33" i="5"/>
  <c r="D34" i="5"/>
  <c r="C31" i="5"/>
  <c r="C32" i="5"/>
  <c r="C33" i="5"/>
  <c r="C34" i="5"/>
  <c r="B32" i="5"/>
  <c r="B33" i="5"/>
  <c r="B34" i="5"/>
  <c r="B31" i="5"/>
  <c r="D20" i="5"/>
  <c r="D21" i="5"/>
  <c r="D22" i="5"/>
  <c r="D23" i="5"/>
  <c r="D24" i="5"/>
  <c r="D25" i="5"/>
  <c r="D26" i="5"/>
  <c r="D27" i="5"/>
  <c r="D28" i="5"/>
  <c r="D29" i="5"/>
  <c r="C20" i="5"/>
  <c r="C21" i="5"/>
  <c r="C22" i="5"/>
  <c r="C23" i="5"/>
  <c r="C24" i="5"/>
  <c r="C25" i="5"/>
  <c r="C26" i="5"/>
  <c r="C27" i="5"/>
  <c r="C28" i="5"/>
  <c r="C29" i="5"/>
  <c r="B21" i="5"/>
  <c r="B22" i="5"/>
  <c r="B23" i="5"/>
  <c r="B24" i="5"/>
  <c r="B25" i="5"/>
  <c r="B26" i="5"/>
  <c r="B27" i="5"/>
  <c r="B28" i="5"/>
  <c r="B29" i="5"/>
  <c r="D14" i="5"/>
  <c r="D15" i="5"/>
  <c r="D16" i="5"/>
  <c r="D17" i="5"/>
  <c r="D18" i="5"/>
  <c r="C14" i="5"/>
  <c r="C15" i="5"/>
  <c r="C16" i="5"/>
  <c r="C17" i="5"/>
  <c r="C18" i="5"/>
  <c r="B14" i="5"/>
  <c r="B15" i="5"/>
  <c r="B16" i="5"/>
  <c r="B17" i="5"/>
  <c r="B18" i="5"/>
  <c r="B20" i="5"/>
  <c r="P5" i="1"/>
  <c r="F18" i="11" s="1"/>
  <c r="P6" i="1"/>
  <c r="F19" i="11" s="1"/>
  <c r="P7" i="1"/>
  <c r="F20" i="11" s="1"/>
  <c r="P8" i="1"/>
  <c r="F21" i="11" s="1"/>
  <c r="P9" i="1"/>
  <c r="F22" i="11" s="1"/>
  <c r="P10" i="1"/>
  <c r="F23" i="11" s="1"/>
  <c r="P11" i="1"/>
  <c r="F24" i="11" s="1"/>
  <c r="P13" i="1"/>
  <c r="F26" i="11" s="1"/>
  <c r="P14" i="1"/>
  <c r="F27" i="11" s="1"/>
  <c r="P15" i="1"/>
  <c r="F28" i="11" s="1"/>
  <c r="P16" i="1"/>
  <c r="F29" i="11" s="1"/>
  <c r="P17" i="1"/>
  <c r="F30" i="11" s="1"/>
  <c r="P19" i="1"/>
  <c r="F32" i="11" s="1"/>
  <c r="P20" i="1"/>
  <c r="F33" i="11" s="1"/>
  <c r="P21" i="1"/>
  <c r="F34" i="11" s="1"/>
  <c r="P22" i="1"/>
  <c r="F35" i="11" s="1"/>
  <c r="P23" i="1"/>
  <c r="F36" i="11" s="1"/>
  <c r="P24" i="1"/>
  <c r="F37" i="11" s="1"/>
  <c r="P25" i="1"/>
  <c r="F38" i="11" s="1"/>
  <c r="P26" i="1"/>
  <c r="F39" i="11" s="1"/>
  <c r="P27" i="1"/>
  <c r="F40" i="11" s="1"/>
  <c r="P28" i="1"/>
  <c r="F41" i="11" s="1"/>
  <c r="P30" i="1"/>
  <c r="P31" i="1"/>
  <c r="P32" i="1"/>
  <c r="P33" i="1"/>
  <c r="A2" i="6"/>
  <c r="B2" i="6" s="1"/>
  <c r="S27" i="1" l="1"/>
  <c r="S23" i="1"/>
  <c r="R11" i="1"/>
  <c r="R7" i="1"/>
  <c r="R19" i="1"/>
  <c r="R25" i="1"/>
  <c r="R21" i="1"/>
  <c r="S19" i="1"/>
  <c r="S25" i="1"/>
  <c r="S21" i="1"/>
  <c r="R9" i="1"/>
  <c r="R5" i="1"/>
  <c r="R27" i="1"/>
  <c r="R23" i="1"/>
  <c r="E34" i="5"/>
  <c r="F46" i="11"/>
  <c r="E32" i="5"/>
  <c r="F44" i="11"/>
  <c r="R15" i="1"/>
  <c r="E16" i="5"/>
  <c r="E28" i="5"/>
  <c r="E26" i="5"/>
  <c r="E24" i="5"/>
  <c r="E22" i="5"/>
  <c r="E20" i="5"/>
  <c r="S31" i="1"/>
  <c r="S33" i="1"/>
  <c r="S17" i="1"/>
  <c r="S15" i="1"/>
  <c r="R17" i="1"/>
  <c r="E18" i="5"/>
  <c r="E14" i="5"/>
  <c r="E33" i="5"/>
  <c r="F45" i="11"/>
  <c r="E31" i="5"/>
  <c r="F43" i="11"/>
  <c r="S13" i="1"/>
  <c r="S16" i="1"/>
  <c r="S14" i="1"/>
  <c r="S28" i="1"/>
  <c r="S26" i="1"/>
  <c r="S24" i="1"/>
  <c r="S22" i="1"/>
  <c r="S20" i="1"/>
  <c r="R10" i="1"/>
  <c r="R8" i="1"/>
  <c r="R6" i="1"/>
  <c r="R13" i="1"/>
  <c r="R16" i="1"/>
  <c r="R14" i="1"/>
  <c r="R28" i="1"/>
  <c r="R26" i="1"/>
  <c r="R24" i="1"/>
  <c r="R22" i="1"/>
  <c r="R20" i="1"/>
  <c r="E17" i="5"/>
  <c r="E15" i="5"/>
  <c r="E29" i="5"/>
  <c r="E27" i="5"/>
  <c r="E25" i="5"/>
  <c r="E23" i="5"/>
  <c r="E21" i="5"/>
  <c r="S30" i="1"/>
  <c r="S32" i="1"/>
  <c r="F34" i="5"/>
  <c r="F33" i="5"/>
  <c r="F31" i="5"/>
  <c r="F32" i="5"/>
  <c r="F20" i="5"/>
  <c r="F21" i="5"/>
  <c r="F23" i="5"/>
  <c r="F25" i="5"/>
  <c r="F27" i="5"/>
  <c r="F29" i="5"/>
  <c r="F22" i="5"/>
  <c r="F24" i="5"/>
  <c r="F26" i="5"/>
  <c r="F28" i="5"/>
  <c r="F15" i="5"/>
  <c r="F17" i="5"/>
  <c r="F16" i="5"/>
  <c r="F18" i="5"/>
  <c r="F14" i="5"/>
  <c r="F12" i="5"/>
  <c r="T381" i="4"/>
  <c r="F7" i="5"/>
  <c r="F11" i="5"/>
  <c r="F8" i="5"/>
  <c r="F10" i="5"/>
  <c r="F9" i="5"/>
  <c r="F6" i="5"/>
  <c r="F5" i="5"/>
  <c r="G56" i="11" l="1"/>
  <c r="H56" i="11" l="1"/>
  <c r="C6" i="5" l="1"/>
  <c r="D6" i="5"/>
  <c r="C7" i="5"/>
  <c r="D7" i="5"/>
  <c r="C8" i="5"/>
  <c r="D8" i="5"/>
  <c r="C9" i="5"/>
  <c r="D9" i="5"/>
  <c r="C10" i="5"/>
  <c r="D10" i="5"/>
  <c r="C11" i="5"/>
  <c r="D11" i="5"/>
  <c r="C12" i="5"/>
  <c r="D12" i="5"/>
  <c r="D5" i="5"/>
  <c r="C5" i="5"/>
  <c r="B11" i="5"/>
  <c r="B12" i="5"/>
  <c r="B6" i="5"/>
  <c r="B7" i="5"/>
  <c r="B8" i="5"/>
  <c r="B9" i="5"/>
  <c r="B10" i="5"/>
  <c r="E6" i="5"/>
  <c r="E7" i="5"/>
  <c r="E8" i="5"/>
  <c r="H8" i="5" s="1"/>
  <c r="E9" i="5"/>
  <c r="S9" i="1"/>
  <c r="S10" i="1"/>
  <c r="E12" i="5"/>
  <c r="H12" i="5" s="1"/>
  <c r="B5" i="5"/>
  <c r="F36" i="5" l="1"/>
  <c r="G33" i="5"/>
  <c r="H33" i="5"/>
  <c r="G31" i="5"/>
  <c r="H31" i="5"/>
  <c r="G29" i="5"/>
  <c r="H29" i="5"/>
  <c r="G27" i="5"/>
  <c r="H27" i="5"/>
  <c r="G25" i="5"/>
  <c r="H25" i="5"/>
  <c r="G23" i="5"/>
  <c r="H23" i="5"/>
  <c r="G21" i="5"/>
  <c r="H21" i="5"/>
  <c r="G17" i="5"/>
  <c r="H17" i="5"/>
  <c r="G15" i="5"/>
  <c r="H15" i="5"/>
  <c r="H9" i="5"/>
  <c r="H7" i="5"/>
  <c r="G34" i="5"/>
  <c r="H34" i="5"/>
  <c r="G32" i="5"/>
  <c r="H32" i="5"/>
  <c r="G28" i="5"/>
  <c r="H28" i="5"/>
  <c r="G26" i="5"/>
  <c r="H26" i="5"/>
  <c r="G24" i="5"/>
  <c r="H24" i="5"/>
  <c r="G22" i="5"/>
  <c r="H22" i="5"/>
  <c r="G20" i="5"/>
  <c r="H20" i="5"/>
  <c r="G18" i="5"/>
  <c r="H18" i="5"/>
  <c r="G16" i="5"/>
  <c r="H16" i="5"/>
  <c r="G14" i="5"/>
  <c r="H14" i="5"/>
  <c r="H6" i="5"/>
  <c r="G6" i="5"/>
  <c r="S11" i="1"/>
  <c r="S7" i="1"/>
  <c r="S5" i="1"/>
  <c r="G12" i="5"/>
  <c r="G9" i="5"/>
  <c r="G8" i="5"/>
  <c r="G7" i="5"/>
  <c r="S8" i="1"/>
  <c r="S6" i="1"/>
  <c r="E11" i="5"/>
  <c r="H11" i="5" s="1"/>
  <c r="E10" i="5"/>
  <c r="H10" i="5" s="1"/>
  <c r="P4" i="1"/>
  <c r="R4" i="1" l="1"/>
  <c r="R35" i="1" s="1"/>
  <c r="F17" i="11"/>
  <c r="F56" i="11" s="1"/>
  <c r="G10" i="5"/>
  <c r="E5" i="5"/>
  <c r="E36" i="5" s="1"/>
  <c r="S4" i="1"/>
  <c r="S35" i="1" s="1"/>
  <c r="G11" i="5"/>
  <c r="H5" i="5" l="1"/>
  <c r="G5" i="5"/>
  <c r="G36" i="5" s="1"/>
</calcChain>
</file>

<file path=xl/sharedStrings.xml><?xml version="1.0" encoding="utf-8"?>
<sst xmlns="http://schemas.openxmlformats.org/spreadsheetml/2006/main" count="1608" uniqueCount="289">
  <si>
    <t>Código</t>
  </si>
  <si>
    <t>Stock</t>
  </si>
  <si>
    <t>P. Ped</t>
  </si>
  <si>
    <t>Plan</t>
  </si>
  <si>
    <t>Horas</t>
  </si>
  <si>
    <t>T(s) de Pzs</t>
  </si>
  <si>
    <t xml:space="preserve">Descripción </t>
  </si>
  <si>
    <t>$</t>
  </si>
  <si>
    <t>TOTALES</t>
  </si>
  <si>
    <t>Programa Maestro de Produccion Mensual</t>
  </si>
  <si>
    <t>Fabricado</t>
  </si>
  <si>
    <t>Saldo</t>
  </si>
  <si>
    <t>Fecha</t>
  </si>
  <si>
    <t>Mates</t>
  </si>
  <si>
    <t>Mate Marwal</t>
  </si>
  <si>
    <t>Mate con Dije</t>
  </si>
  <si>
    <t>Mate con Asa PP</t>
  </si>
  <si>
    <t>Mate con Asa PS Glitter</t>
  </si>
  <si>
    <t>02PZ0301</t>
  </si>
  <si>
    <t>Pzs x Hs</t>
  </si>
  <si>
    <t>Ciclos x Turno</t>
  </si>
  <si>
    <t xml:space="preserve">Cavidades </t>
  </si>
  <si>
    <t>Material</t>
  </si>
  <si>
    <t>PP</t>
  </si>
  <si>
    <t>Peso (gr)</t>
  </si>
  <si>
    <t>Material ($)</t>
  </si>
  <si>
    <t>M.O. ($)</t>
  </si>
  <si>
    <t>Factor Prod,</t>
  </si>
  <si>
    <t>$ x Venta</t>
  </si>
  <si>
    <t>Turno</t>
  </si>
  <si>
    <t>Operador</t>
  </si>
  <si>
    <t>Maquina</t>
  </si>
  <si>
    <t>Codigo</t>
  </si>
  <si>
    <t>Detalle</t>
  </si>
  <si>
    <t>Mañana</t>
  </si>
  <si>
    <t>Lautaro</t>
  </si>
  <si>
    <t>Latas</t>
  </si>
  <si>
    <t>Mate Prisma PP</t>
  </si>
  <si>
    <t>Tapa Lata 6 Colores</t>
  </si>
  <si>
    <t>02PZ0309</t>
  </si>
  <si>
    <t>Mate con Asa Fluo</t>
  </si>
  <si>
    <t>Mate Prisma PS Glitter</t>
  </si>
  <si>
    <t>02PZ0313</t>
  </si>
  <si>
    <t>02PZ0311</t>
  </si>
  <si>
    <t>02PZ0302</t>
  </si>
  <si>
    <t>Marco superior pico transparente</t>
  </si>
  <si>
    <t>02PZ0303</t>
  </si>
  <si>
    <t>Marco inferior pico transparente</t>
  </si>
  <si>
    <t>Vertedor pico transparente</t>
  </si>
  <si>
    <t>02PZ0304</t>
  </si>
  <si>
    <t>02PZ0305</t>
  </si>
  <si>
    <t>Disco extractor</t>
  </si>
  <si>
    <t>02PZ0307</t>
  </si>
  <si>
    <t>02PZ0320</t>
  </si>
  <si>
    <t>02PZ0321</t>
  </si>
  <si>
    <t>Lata Alta 6 Colores</t>
  </si>
  <si>
    <t>Lata Baja 6 Colores</t>
  </si>
  <si>
    <t>Lata Baja Glitter</t>
  </si>
  <si>
    <t>Lata Alta Glitter</t>
  </si>
  <si>
    <t>02PZ0314</t>
  </si>
  <si>
    <t>02PZ0315</t>
  </si>
  <si>
    <t>02PZ0316</t>
  </si>
  <si>
    <t>02PZ0317</t>
  </si>
  <si>
    <t>02PZ0318</t>
  </si>
  <si>
    <t>02PZ0319</t>
  </si>
  <si>
    <t>Vertedor pico Colores</t>
  </si>
  <si>
    <t>Marco inferior pico NEGRO</t>
  </si>
  <si>
    <t>Marco superior pico NEGRO</t>
  </si>
  <si>
    <t>Vertedor pico NEGRO</t>
  </si>
  <si>
    <t>02PZ0322</t>
  </si>
  <si>
    <t>Marco superior pico BLANCO</t>
  </si>
  <si>
    <t>Marco inferior pico BLANCO</t>
  </si>
  <si>
    <t>Vertedor pico BLANCO</t>
  </si>
  <si>
    <t>02PZ0323</t>
  </si>
  <si>
    <t>02PZ0324</t>
  </si>
  <si>
    <t>02PZ0325</t>
  </si>
  <si>
    <t>02PZ0326</t>
  </si>
  <si>
    <t>02PZ0327</t>
  </si>
  <si>
    <t>T(s) de Ciclo</t>
  </si>
  <si>
    <t>Vaso Autocebante</t>
  </si>
  <si>
    <t>Jarro Autocebante</t>
  </si>
  <si>
    <t>Tapa Autocebante</t>
  </si>
  <si>
    <t>Taza a rosca Autocebante</t>
  </si>
  <si>
    <t>PS</t>
  </si>
  <si>
    <t>Ciclo (s)</t>
  </si>
  <si>
    <t>Scrap</t>
  </si>
  <si>
    <t>Tarde</t>
  </si>
  <si>
    <t>Noche</t>
  </si>
  <si>
    <t>Gaston</t>
  </si>
  <si>
    <t>Lucas</t>
  </si>
  <si>
    <t>Gustavo</t>
  </si>
  <si>
    <t>Julian</t>
  </si>
  <si>
    <t>Matias</t>
  </si>
  <si>
    <t>Brian</t>
  </si>
  <si>
    <t>Ingreso de Datos</t>
  </si>
  <si>
    <t>T(s) de Pzs2</t>
  </si>
  <si>
    <t>Nº Lote</t>
  </si>
  <si>
    <t>Cant. Fabricada</t>
  </si>
  <si>
    <t>Eficacia</t>
  </si>
  <si>
    <t>Hs. Maquinas</t>
  </si>
  <si>
    <t>Cavidad</t>
  </si>
  <si>
    <t>2 ºda</t>
  </si>
  <si>
    <t>Material (Kg)</t>
  </si>
  <si>
    <t>Ciclos</t>
  </si>
  <si>
    <t>Datos de la Piezas</t>
  </si>
  <si>
    <t>Descripcion</t>
  </si>
  <si>
    <t>% Cumplido</t>
  </si>
  <si>
    <t>P.Ped.</t>
  </si>
  <si>
    <t>Turnos</t>
  </si>
  <si>
    <t>Personal</t>
  </si>
  <si>
    <t>Cora</t>
  </si>
  <si>
    <t>Dias Habiles Productivos</t>
  </si>
  <si>
    <t>Enero</t>
  </si>
  <si>
    <t>Febrero</t>
  </si>
  <si>
    <t>Marzo</t>
  </si>
  <si>
    <t>Abri</t>
  </si>
  <si>
    <t>Sabados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</si>
  <si>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</si>
  <si>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</si>
  <si>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</si>
  <si>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</si>
  <si>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</si>
  <si>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</si>
  <si>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</si>
  <si>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</si>
  <si>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Promedio</t>
  </si>
  <si>
    <t>A200</t>
  </si>
  <si>
    <t>A120</t>
  </si>
  <si>
    <t>A160</t>
  </si>
  <si>
    <t>Nº Maquina</t>
  </si>
  <si>
    <t>**************</t>
  </si>
  <si>
    <t>A0</t>
  </si>
  <si>
    <t>*****</t>
  </si>
  <si>
    <t>***********</t>
  </si>
  <si>
    <t>Picos</t>
  </si>
  <si>
    <t>Autocebante</t>
  </si>
  <si>
    <t>HOY</t>
  </si>
  <si>
    <t>Material (kg)</t>
  </si>
  <si>
    <t>02PZ0328</t>
  </si>
  <si>
    <t>02PZ0329</t>
  </si>
  <si>
    <t>02PZ0330</t>
  </si>
  <si>
    <t>02PZ0331</t>
  </si>
  <si>
    <t>Horas Plan</t>
  </si>
  <si>
    <t>hasta:</t>
  </si>
  <si>
    <t>Resumen de produccio desde (dd/mm/aaaa):</t>
  </si>
  <si>
    <t>Plan Actual</t>
  </si>
  <si>
    <t>Plan Futuro</t>
  </si>
  <si>
    <t>M.P. Futura</t>
  </si>
  <si>
    <t>Hs. Futuro</t>
  </si>
  <si>
    <t>Maquina Nº</t>
  </si>
  <si>
    <t xml:space="preserve">Dias </t>
  </si>
  <si>
    <t>Hs. Productiva</t>
  </si>
  <si>
    <t>Yizumi A200</t>
  </si>
  <si>
    <t>Yizumi A120</t>
  </si>
  <si>
    <t>Yizumi A160</t>
  </si>
  <si>
    <t>02PZ03100</t>
  </si>
  <si>
    <t>02PZ03101</t>
  </si>
  <si>
    <t>02PZ03102</t>
  </si>
  <si>
    <t>Problema con Inyectora</t>
  </si>
  <si>
    <t>Problema con Chiller</t>
  </si>
  <si>
    <t>Problema con cañeria de refrigeracion</t>
  </si>
  <si>
    <t>Problema con compresor</t>
  </si>
  <si>
    <t>Problema con cañeria de aire</t>
  </si>
  <si>
    <t>Problema corte de luz</t>
  </si>
  <si>
    <t>Problema molde</t>
  </si>
  <si>
    <t>Problema molde mate c/dije nacional</t>
  </si>
  <si>
    <t>Problema molde mate c/asa</t>
  </si>
  <si>
    <t>Ajuste de Robot</t>
  </si>
  <si>
    <t>Limpieza de electroválvulas (robot)</t>
  </si>
  <si>
    <t>Prueba de molde</t>
  </si>
  <si>
    <t>Prueba molde mate c/dije nacional</t>
  </si>
  <si>
    <t>Prueba molde mate c/dije chino</t>
  </si>
  <si>
    <t>Prueba molde mate c/asa</t>
  </si>
  <si>
    <t>Prueba molde marco inferior</t>
  </si>
  <si>
    <t>Prueba molde marco superior</t>
  </si>
  <si>
    <t>Prueba molde vertedor</t>
  </si>
  <si>
    <t>Prueba Mate Poliestireno Cristal</t>
  </si>
  <si>
    <t>Prueba Mate Poliestireno Glitter</t>
  </si>
  <si>
    <t>Prueba Mate Random Glitter</t>
  </si>
  <si>
    <t>Prueba Mate Diamante</t>
  </si>
  <si>
    <t>No funciona p/cambio molde</t>
  </si>
  <si>
    <t>Recursos Humanos</t>
  </si>
  <si>
    <t>02PZ03200</t>
  </si>
  <si>
    <t>02PZ03201</t>
  </si>
  <si>
    <t>LLegada Tarde</t>
  </si>
  <si>
    <t>02PZ03202</t>
  </si>
  <si>
    <t>Enfermedad</t>
  </si>
  <si>
    <t>Falta</t>
  </si>
  <si>
    <t>Accidente</t>
  </si>
  <si>
    <t>Vacaciones</t>
  </si>
  <si>
    <t>02PZ03103</t>
  </si>
  <si>
    <t>02PZ03104</t>
  </si>
  <si>
    <t>02PZ03105</t>
  </si>
  <si>
    <t>02PZ03106</t>
  </si>
  <si>
    <t>02PZ03210</t>
  </si>
  <si>
    <t>02PZ03211</t>
  </si>
  <si>
    <t>02PZ03212</t>
  </si>
  <si>
    <t>02PZ03213</t>
  </si>
  <si>
    <t>02PZ03214</t>
  </si>
  <si>
    <t>Cambio de Molde</t>
  </si>
  <si>
    <t>Problemas Maquina / servicio / energia</t>
  </si>
  <si>
    <t>02PZ03220</t>
  </si>
  <si>
    <t>02PZ03221</t>
  </si>
  <si>
    <t>02PZ03222</t>
  </si>
  <si>
    <t>02PZ03223</t>
  </si>
  <si>
    <t>02PZ03224</t>
  </si>
  <si>
    <t>02PZ03225</t>
  </si>
  <si>
    <t>02PZ03226</t>
  </si>
  <si>
    <t>Problemas con molde</t>
  </si>
  <si>
    <t>Problema molde mate marwal chino</t>
  </si>
  <si>
    <t>Problema molde marco superior</t>
  </si>
  <si>
    <t>Problema molde marco inferior</t>
  </si>
  <si>
    <t>Problema molde vertedor</t>
  </si>
  <si>
    <t>Problema molde prisma</t>
  </si>
  <si>
    <t>Problema molde lata alta</t>
  </si>
  <si>
    <t>Problema molde lata baja</t>
  </si>
  <si>
    <t>Problema molde tapa lata</t>
  </si>
  <si>
    <t>Problema molde disco</t>
  </si>
  <si>
    <t>02PZ03227</t>
  </si>
  <si>
    <t>02PZ03228</t>
  </si>
  <si>
    <t>02PZ03229</t>
  </si>
  <si>
    <t>02PZ03230</t>
  </si>
  <si>
    <t>02PZ03231</t>
  </si>
  <si>
    <t>Problema molde vaso autocebante</t>
  </si>
  <si>
    <t>Problema molde jarro autocebante</t>
  </si>
  <si>
    <t>Problema molde taza a rosca autocebante</t>
  </si>
  <si>
    <t>02PZ03232</t>
  </si>
  <si>
    <t>02PZ03233</t>
  </si>
  <si>
    <t>02PZ03234</t>
  </si>
  <si>
    <t>02PZ03235</t>
  </si>
  <si>
    <t>02PZ03350</t>
  </si>
  <si>
    <t>Varios</t>
  </si>
  <si>
    <t>Prueba de Molde</t>
  </si>
  <si>
    <t>02PZ03351</t>
  </si>
  <si>
    <t>02PZ03352</t>
  </si>
  <si>
    <t>02PZ03353</t>
  </si>
  <si>
    <t>02PZ03354</t>
  </si>
  <si>
    <t>02PZ03355</t>
  </si>
  <si>
    <t>02PZ03356</t>
  </si>
  <si>
    <t>02PZ03357</t>
  </si>
  <si>
    <t>02PZ03358</t>
  </si>
  <si>
    <t>02PZ03359</t>
  </si>
  <si>
    <t>02PZ03360</t>
  </si>
  <si>
    <t>02PZ03400</t>
  </si>
  <si>
    <t>02PZ03401</t>
  </si>
  <si>
    <t>02PZ03402</t>
  </si>
  <si>
    <t>02PZ03403</t>
  </si>
  <si>
    <t>02PZ03404</t>
  </si>
  <si>
    <t>02PZ03405</t>
  </si>
  <si>
    <t>No funciona p/ajuste de molde</t>
  </si>
  <si>
    <t>No funciona p/ problema de molde</t>
  </si>
  <si>
    <t>No funciona p/ problema de inyectora</t>
  </si>
  <si>
    <t>No funciona p/problema compresor</t>
  </si>
  <si>
    <t>No funciona por Falta personal</t>
  </si>
  <si>
    <t>Parada de maquina</t>
  </si>
  <si>
    <t>Cargar todas las producciones de la las maquinas en el orden de Nº1 hasta la Nº5</t>
  </si>
  <si>
    <t>Cargar los datos correspondiente con el codigo por la causa que esta parada la maquina. Ej.(02PZ03405 - Nofunciona por falta personal)</t>
  </si>
  <si>
    <t>Si es necesario, cargar codigo de problema. Ej. (02PZ03201 - Problema con el Chiler).</t>
  </si>
  <si>
    <t>COD.DIA</t>
  </si>
  <si>
    <t>SEMANAS JULIO</t>
  </si>
  <si>
    <t>SEMANA 1</t>
  </si>
  <si>
    <t>SEMANA 2</t>
  </si>
  <si>
    <t>SEMANA 3</t>
  </si>
  <si>
    <t>SEMANA 4</t>
  </si>
  <si>
    <t>NUM SEMANA</t>
  </si>
  <si>
    <t xml:space="preserve">Problema Con Inyectora </t>
  </si>
  <si>
    <t>Total general</t>
  </si>
  <si>
    <t>(Todas)</t>
  </si>
  <si>
    <t>MES</t>
  </si>
  <si>
    <t>Hs. Maquina</t>
  </si>
  <si>
    <t>HS.MÁQUINA</t>
  </si>
  <si>
    <t>Eficacia productiva</t>
  </si>
  <si>
    <t>SEM.DEL MES</t>
  </si>
  <si>
    <t>EFICIENCIA HORAS MÁQUINA</t>
  </si>
  <si>
    <t>EFICIENCIA EN HORAS MAQUINA</t>
  </si>
  <si>
    <t>ASISTENCIAS</t>
  </si>
  <si>
    <t>Promedio de ASISTENCIA</t>
  </si>
  <si>
    <t>Filtrar por turno</t>
  </si>
  <si>
    <t>Seleccione Mes</t>
  </si>
  <si>
    <t>Seleccione semana</t>
  </si>
  <si>
    <t>Detalle de pieza</t>
  </si>
  <si>
    <t>PIEZAS FABRICADAS</t>
  </si>
  <si>
    <t>Etiquetas de fila</t>
  </si>
  <si>
    <t>Suma de Hs. Maquina</t>
  </si>
  <si>
    <t>Promedio de EFICIENCIA HORAS MÁQUINA</t>
  </si>
  <si>
    <t>Suma de Fabricado</t>
  </si>
  <si>
    <t>Prob. Operativo</t>
  </si>
  <si>
    <t>Prob.Operativo</t>
  </si>
  <si>
    <t>Ausencia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</si>
</sst>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#,###,###,##0.00"/>
    <numFmt numFmtId="165" formatCode="[$$-540A]#,##0"/>
    <numFmt numFmtId="166" formatCode="0.0"/>
    <numFmt numFmtId="167" formatCode="[$$-2C0A]\ #,##0"/>
    <numFmt numFmtId="168" formatCode="#,##0.0"/>
    <numFmt numFmtId="169" formatCode="#,###,###,##0.0"/>
    <numFmt numFmtId="170" formatCode="#,###,###,##0"/>
    <numFmt numFmtId="171" formatCode="0.0%"/>
    <numFmt numFmtId="172" formatCode="dd/mm/yyyy;@"/>
    <numFmt numFmtId="173" formatCode="m/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theme="3"/>
      <name val="Calibri"/>
      <family val="2"/>
      <scheme val="minor"/>
    </font>
    <font>
      <sz val="9"/>
      <color theme="1"/>
      <name val="Calibri"/>
      <scheme val="minor"/>
    </font>
    <font>
      <b/>
      <sz val="9"/>
      <color theme="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52">
    <xf numFmtId="0" fontId="0" fillId="0" borderId="0" xfId="0"/>
    <xf numFmtId="0" fontId="0" fillId="0" borderId="0" xfId="0" quotePrefix="1" applyAlignment="1">
      <alignment horizontal="left"/>
    </xf>
    <xf numFmtId="0" fontId="0" fillId="0" borderId="0" xfId="0" applyAlignment="1">
      <alignment horizontal="left"/>
    </xf>
    <xf numFmtId="0" fontId="0" fillId="0" borderId="0" xfId="0" applyBorder="1"/>
    <xf numFmtId="0" fontId="1" fillId="0" borderId="3" xfId="0" applyFont="1" applyBorder="1" applyAlignment="1">
      <alignment horizontal="center"/>
    </xf>
    <xf numFmtId="0" fontId="0" fillId="0" borderId="3" xfId="0" applyBorder="1"/>
    <xf numFmtId="0" fontId="0" fillId="0" borderId="7" xfId="0" applyBorder="1"/>
    <xf numFmtId="0" fontId="1" fillId="0" borderId="3" xfId="0" applyFont="1" applyBorder="1"/>
    <xf numFmtId="164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right"/>
    </xf>
    <xf numFmtId="3" fontId="0" fillId="0" borderId="0" xfId="0" applyNumberFormat="1" applyBorder="1" applyAlignment="1">
      <alignment horizontal="right"/>
    </xf>
    <xf numFmtId="1" fontId="0" fillId="0" borderId="0" xfId="0" applyNumberFormat="1" applyBorder="1" applyAlignment="1"/>
    <xf numFmtId="3" fontId="0" fillId="0" borderId="0" xfId="0" applyNumberFormat="1" applyBorder="1" applyAlignment="1"/>
    <xf numFmtId="3" fontId="0" fillId="0" borderId="1" xfId="0" applyNumberFormat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3" fontId="0" fillId="0" borderId="2" xfId="0" applyNumberFormat="1" applyBorder="1" applyAlignment="1">
      <alignment horizontal="right"/>
    </xf>
    <xf numFmtId="166" fontId="0" fillId="0" borderId="2" xfId="0" applyNumberFormat="1" applyBorder="1" applyAlignment="1">
      <alignment horizontal="right"/>
    </xf>
    <xf numFmtId="166" fontId="0" fillId="0" borderId="0" xfId="0" applyNumberFormat="1" applyBorder="1" applyAlignment="1">
      <alignment horizontal="right"/>
    </xf>
    <xf numFmtId="0" fontId="0" fillId="0" borderId="8" xfId="0" applyBorder="1"/>
    <xf numFmtId="0" fontId="1" fillId="0" borderId="8" xfId="0" applyFont="1" applyBorder="1" applyAlignment="1">
      <alignment horizontal="center"/>
    </xf>
    <xf numFmtId="0" fontId="1" fillId="0" borderId="8" xfId="0" applyFont="1" applyBorder="1"/>
    <xf numFmtId="0" fontId="0" fillId="0" borderId="0" xfId="0" quotePrefix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" fontId="0" fillId="0" borderId="0" xfId="0" applyNumberFormat="1" applyBorder="1" applyAlignment="1">
      <alignment horizontal="right"/>
    </xf>
    <xf numFmtId="168" fontId="0" fillId="0" borderId="0" xfId="0" applyNumberFormat="1" applyBorder="1" applyAlignment="1">
      <alignment horizontal="right"/>
    </xf>
    <xf numFmtId="0" fontId="1" fillId="0" borderId="6" xfId="0" applyFont="1" applyBorder="1" applyAlignment="1">
      <alignment horizontal="center"/>
    </xf>
    <xf numFmtId="169" fontId="0" fillId="0" borderId="1" xfId="0" applyNumberFormat="1" applyBorder="1" applyAlignment="1">
      <alignment horizontal="right"/>
    </xf>
    <xf numFmtId="170" fontId="0" fillId="0" borderId="1" xfId="0" applyNumberFormat="1" applyBorder="1" applyAlignment="1">
      <alignment horizontal="right"/>
    </xf>
    <xf numFmtId="0" fontId="2" fillId="2" borderId="0" xfId="0" applyFont="1" applyFill="1"/>
    <xf numFmtId="3" fontId="2" fillId="2" borderId="0" xfId="0" applyNumberFormat="1" applyFont="1" applyFill="1"/>
    <xf numFmtId="0" fontId="2" fillId="3" borderId="0" xfId="0" applyFont="1" applyFill="1"/>
    <xf numFmtId="0" fontId="1" fillId="0" borderId="7" xfId="0" applyFont="1" applyBorder="1"/>
    <xf numFmtId="0" fontId="1" fillId="0" borderId="0" xfId="0" applyFont="1"/>
    <xf numFmtId="14" fontId="2" fillId="0" borderId="0" xfId="0" applyNumberFormat="1" applyFont="1" applyAlignment="1">
      <alignment horizontal="center"/>
    </xf>
    <xf numFmtId="14" fontId="2" fillId="4" borderId="9" xfId="0" applyNumberFormat="1" applyFont="1" applyFill="1" applyBorder="1"/>
    <xf numFmtId="3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0" borderId="0" xfId="0" applyFont="1" applyAlignment="1">
      <alignment horizontal="right"/>
    </xf>
    <xf numFmtId="1" fontId="0" fillId="0" borderId="2" xfId="0" applyNumberFormat="1" applyBorder="1" applyAlignment="1">
      <alignment horizontal="right"/>
    </xf>
    <xf numFmtId="0" fontId="1" fillId="0" borderId="10" xfId="0" applyFont="1" applyBorder="1" applyAlignment="1">
      <alignment horizontal="center"/>
    </xf>
    <xf numFmtId="9" fontId="0" fillId="0" borderId="0" xfId="0" applyNumberFormat="1" applyBorder="1" applyAlignment="1">
      <alignment horizontal="right"/>
    </xf>
    <xf numFmtId="0" fontId="0" fillId="0" borderId="0" xfId="0" applyAlignment="1">
      <alignment horizontal="center"/>
    </xf>
    <xf numFmtId="9" fontId="2" fillId="3" borderId="0" xfId="0" applyNumberFormat="1" applyFont="1" applyFill="1"/>
    <xf numFmtId="0" fontId="3" fillId="3" borderId="0" xfId="0" applyFont="1" applyFill="1" applyAlignment="1">
      <alignment horizontal="center"/>
    </xf>
    <xf numFmtId="0" fontId="0" fillId="0" borderId="0" xfId="0" quotePrefix="1" applyAlignment="1"/>
    <xf numFmtId="1" fontId="0" fillId="0" borderId="3" xfId="0" applyNumberFormat="1" applyBorder="1"/>
    <xf numFmtId="1" fontId="0" fillId="0" borderId="2" xfId="0" applyNumberFormat="1" applyBorder="1" applyAlignment="1"/>
    <xf numFmtId="3" fontId="0" fillId="0" borderId="3" xfId="0" applyNumberFormat="1" applyBorder="1"/>
    <xf numFmtId="3" fontId="0" fillId="0" borderId="8" xfId="0" applyNumberFormat="1" applyBorder="1"/>
    <xf numFmtId="0" fontId="4" fillId="5" borderId="0" xfId="0" quotePrefix="1" applyFont="1" applyFill="1" applyAlignment="1">
      <alignment horizontal="left"/>
    </xf>
    <xf numFmtId="0" fontId="4" fillId="5" borderId="0" xfId="0" applyFont="1" applyFill="1" applyAlignment="1">
      <alignment horizontal="left"/>
    </xf>
    <xf numFmtId="0" fontId="5" fillId="5" borderId="1" xfId="0" applyFont="1" applyFill="1" applyBorder="1" applyAlignment="1">
      <alignment horizontal="right"/>
    </xf>
    <xf numFmtId="0" fontId="5" fillId="5" borderId="0" xfId="0" applyFont="1" applyFill="1" applyAlignment="1">
      <alignment horizontal="right"/>
    </xf>
    <xf numFmtId="0" fontId="5" fillId="5" borderId="2" xfId="0" applyFont="1" applyFill="1" applyBorder="1" applyAlignment="1">
      <alignment horizontal="right"/>
    </xf>
    <xf numFmtId="3" fontId="5" fillId="5" borderId="0" xfId="0" applyNumberFormat="1" applyFont="1" applyFill="1" applyBorder="1" applyAlignment="1">
      <alignment horizontal="right"/>
    </xf>
    <xf numFmtId="1" fontId="5" fillId="5" borderId="0" xfId="0" applyNumberFormat="1" applyFont="1" applyFill="1" applyBorder="1" applyAlignment="1">
      <alignment horizontal="right"/>
    </xf>
    <xf numFmtId="9" fontId="5" fillId="5" borderId="0" xfId="0" applyNumberFormat="1" applyFont="1" applyFill="1" applyBorder="1" applyAlignment="1">
      <alignment horizontal="right"/>
    </xf>
    <xf numFmtId="0" fontId="1" fillId="5" borderId="0" xfId="0" quotePrefix="1" applyFont="1" applyFill="1" applyAlignment="1">
      <alignment horizontal="left"/>
    </xf>
    <xf numFmtId="0" fontId="1" fillId="5" borderId="0" xfId="0" applyFont="1" applyFill="1" applyAlignment="1">
      <alignment horizontal="left"/>
    </xf>
    <xf numFmtId="164" fontId="0" fillId="5" borderId="1" xfId="0" applyNumberFormat="1" applyFill="1" applyBorder="1" applyAlignment="1">
      <alignment horizontal="right"/>
    </xf>
    <xf numFmtId="3" fontId="0" fillId="5" borderId="0" xfId="0" applyNumberFormat="1" applyFill="1" applyBorder="1" applyAlignment="1">
      <alignment horizontal="right"/>
    </xf>
    <xf numFmtId="1" fontId="0" fillId="5" borderId="2" xfId="0" applyNumberFormat="1" applyFill="1" applyBorder="1" applyAlignment="1"/>
    <xf numFmtId="1" fontId="0" fillId="5" borderId="0" xfId="0" applyNumberForma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0" fillId="5" borderId="0" xfId="0" applyFill="1" applyAlignment="1">
      <alignment horizontal="right"/>
    </xf>
    <xf numFmtId="0" fontId="0" fillId="5" borderId="2" xfId="0" applyFill="1" applyBorder="1" applyAlignment="1">
      <alignment horizontal="right"/>
    </xf>
    <xf numFmtId="9" fontId="0" fillId="5" borderId="0" xfId="0" applyNumberFormat="1" applyFill="1" applyBorder="1" applyAlignment="1">
      <alignment horizontal="right"/>
    </xf>
    <xf numFmtId="0" fontId="1" fillId="5" borderId="0" xfId="0" quotePrefix="1" applyFont="1" applyFill="1" applyAlignment="1">
      <alignment horizontal="right"/>
    </xf>
    <xf numFmtId="1" fontId="0" fillId="5" borderId="0" xfId="0" applyNumberFormat="1" applyFill="1" applyBorder="1" applyAlignment="1"/>
    <xf numFmtId="3" fontId="0" fillId="5" borderId="2" xfId="0" applyNumberFormat="1" applyFill="1" applyBorder="1" applyAlignment="1">
      <alignment horizontal="right"/>
    </xf>
    <xf numFmtId="166" fontId="0" fillId="5" borderId="2" xfId="0" applyNumberFormat="1" applyFill="1" applyBorder="1" applyAlignment="1">
      <alignment horizontal="right"/>
    </xf>
    <xf numFmtId="165" fontId="0" fillId="5" borderId="0" xfId="0" applyNumberFormat="1" applyFill="1" applyBorder="1" applyAlignment="1">
      <alignment horizontal="right"/>
    </xf>
    <xf numFmtId="170" fontId="0" fillId="5" borderId="1" xfId="0" applyNumberFormat="1" applyFill="1" applyBorder="1" applyAlignment="1">
      <alignment horizontal="right"/>
    </xf>
    <xf numFmtId="0" fontId="0" fillId="5" borderId="0" xfId="0" applyFill="1"/>
    <xf numFmtId="0" fontId="1" fillId="0" borderId="0" xfId="0" applyFont="1" applyAlignment="1">
      <alignment horizontal="right"/>
    </xf>
    <xf numFmtId="14" fontId="7" fillId="0" borderId="0" xfId="0" applyNumberFormat="1" applyFont="1"/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" fontId="7" fillId="0" borderId="0" xfId="0" applyNumberFormat="1" applyFont="1"/>
    <xf numFmtId="0" fontId="0" fillId="0" borderId="0" xfId="0" applyFont="1" applyAlignment="1">
      <alignment horizontal="right"/>
    </xf>
    <xf numFmtId="0" fontId="0" fillId="5" borderId="0" xfId="0" applyFill="1" applyBorder="1"/>
    <xf numFmtId="0" fontId="1" fillId="5" borderId="0" xfId="0" applyFont="1" applyFill="1"/>
    <xf numFmtId="3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0" fillId="5" borderId="0" xfId="0" applyFill="1" applyAlignment="1">
      <alignment horizontal="left"/>
    </xf>
    <xf numFmtId="0" fontId="1" fillId="6" borderId="0" xfId="0" applyFont="1" applyFill="1" applyAlignment="1">
      <alignment horizontal="right"/>
    </xf>
    <xf numFmtId="3" fontId="0" fillId="6" borderId="8" xfId="0" applyNumberFormat="1" applyFill="1" applyBorder="1"/>
    <xf numFmtId="14" fontId="6" fillId="0" borderId="0" xfId="0" applyNumberFormat="1" applyFont="1"/>
    <xf numFmtId="0" fontId="3" fillId="0" borderId="0" xfId="0" applyFont="1"/>
    <xf numFmtId="0" fontId="2" fillId="0" borderId="0" xfId="0" applyFont="1" applyAlignment="1"/>
    <xf numFmtId="0" fontId="2" fillId="3" borderId="0" xfId="0" applyFont="1" applyFill="1" applyAlignment="1">
      <alignment horizontal="center"/>
    </xf>
    <xf numFmtId="0" fontId="2" fillId="0" borderId="0" xfId="0" applyFont="1" applyAlignment="1">
      <alignment horizontal="left"/>
    </xf>
    <xf numFmtId="0" fontId="2" fillId="2" borderId="0" xfId="0" applyFont="1" applyFill="1" applyAlignment="1"/>
    <xf numFmtId="0" fontId="2" fillId="3" borderId="0" xfId="0" applyFont="1" applyFill="1" applyAlignment="1">
      <alignment horizontal="right"/>
    </xf>
    <xf numFmtId="0" fontId="2" fillId="3" borderId="0" xfId="0" applyFont="1" applyFill="1" applyAlignment="1"/>
    <xf numFmtId="3" fontId="2" fillId="2" borderId="0" xfId="0" applyNumberFormat="1" applyFont="1" applyFill="1" applyAlignment="1">
      <alignment horizontal="right"/>
    </xf>
    <xf numFmtId="14" fontId="2" fillId="0" borderId="0" xfId="0" applyNumberFormat="1" applyFont="1" applyAlignment="1">
      <alignment horizontal="right"/>
    </xf>
    <xf numFmtId="14" fontId="2" fillId="4" borderId="9" xfId="0" applyNumberFormat="1" applyFont="1" applyFill="1" applyBorder="1" applyAlignment="1">
      <alignment horizontal="right"/>
    </xf>
    <xf numFmtId="3" fontId="8" fillId="2" borderId="0" xfId="0" applyNumberFormat="1" applyFont="1" applyFill="1"/>
    <xf numFmtId="0" fontId="8" fillId="0" borderId="5" xfId="0" applyFont="1" applyBorder="1" applyAlignment="1">
      <alignment horizontal="center"/>
    </xf>
    <xf numFmtId="14" fontId="0" fillId="0" borderId="0" xfId="0" applyNumberFormat="1"/>
    <xf numFmtId="172" fontId="0" fillId="0" borderId="0" xfId="0" applyNumberFormat="1"/>
    <xf numFmtId="173" fontId="9" fillId="4" borderId="11" xfId="0" applyNumberFormat="1" applyFont="1" applyFill="1" applyBorder="1"/>
    <xf numFmtId="0" fontId="9" fillId="2" borderId="0" xfId="0" applyFont="1" applyFill="1" applyBorder="1"/>
    <xf numFmtId="0" fontId="8" fillId="2" borderId="0" xfId="0" applyFont="1" applyFill="1" applyBorder="1"/>
    <xf numFmtId="3" fontId="8" fillId="2" borderId="0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right"/>
    </xf>
    <xf numFmtId="0" fontId="8" fillId="0" borderId="0" xfId="0" applyNumberFormat="1" applyFont="1" applyBorder="1"/>
    <xf numFmtId="3" fontId="8" fillId="2" borderId="0" xfId="0" applyNumberFormat="1" applyFont="1" applyFill="1" applyBorder="1" applyAlignment="1">
      <alignment horizontal="right"/>
    </xf>
    <xf numFmtId="3" fontId="8" fillId="2" borderId="0" xfId="0" applyNumberFormat="1" applyFont="1" applyFill="1" applyBorder="1"/>
    <xf numFmtId="0" fontId="8" fillId="3" borderId="0" xfId="0" applyFont="1" applyFill="1" applyBorder="1"/>
    <xf numFmtId="0" fontId="8" fillId="0" borderId="0" xfId="0" applyFont="1" applyBorder="1"/>
    <xf numFmtId="0" fontId="8" fillId="0" borderId="0" xfId="0" applyFont="1" applyBorder="1" applyAlignment="1">
      <alignment horizontal="right"/>
    </xf>
    <xf numFmtId="9" fontId="8" fillId="3" borderId="0" xfId="0" applyNumberFormat="1" applyFont="1" applyFill="1" applyBorder="1"/>
    <xf numFmtId="3" fontId="2" fillId="6" borderId="0" xfId="0" applyNumberFormat="1" applyFont="1" applyFill="1" applyAlignment="1">
      <alignment horizontal="center" vertical="center"/>
    </xf>
    <xf numFmtId="0" fontId="2" fillId="6" borderId="0" xfId="0" applyFont="1" applyFill="1"/>
    <xf numFmtId="0" fontId="2" fillId="3" borderId="0" xfId="0" applyNumberFormat="1" applyFont="1" applyFill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3" borderId="0" xfId="0" applyNumberFormat="1" applyFont="1" applyFill="1"/>
    <xf numFmtId="1" fontId="2" fillId="0" borderId="5" xfId="0" applyNumberFormat="1" applyFont="1" applyBorder="1" applyAlignment="1">
      <alignment horizontal="center"/>
    </xf>
    <xf numFmtId="1" fontId="2" fillId="3" borderId="0" xfId="0" applyNumberFormat="1" applyFont="1" applyFill="1" applyAlignment="1">
      <alignment horizontal="center"/>
    </xf>
    <xf numFmtId="171" fontId="2" fillId="3" borderId="0" xfId="0" applyNumberFormat="1" applyFont="1" applyFill="1" applyAlignment="1">
      <alignment horizontal="center"/>
    </xf>
    <xf numFmtId="0" fontId="0" fillId="0" borderId="0" xfId="0" pivotButton="1" applyAlignment="1">
      <alignment horizontal="center"/>
    </xf>
    <xf numFmtId="1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 applyAlignment="1"/>
    <xf numFmtId="164" fontId="8" fillId="0" borderId="0" xfId="0" applyNumberFormat="1" applyFont="1" applyAlignment="1">
      <alignment horizontal="center"/>
    </xf>
    <xf numFmtId="167" fontId="8" fillId="0" borderId="0" xfId="0" applyNumberFormat="1" applyFont="1" applyAlignment="1">
      <alignment horizontal="left"/>
    </xf>
    <xf numFmtId="0" fontId="8" fillId="0" borderId="0" xfId="0" applyNumberFormat="1" applyFont="1" applyAlignment="1">
      <alignment horizontal="right"/>
    </xf>
    <xf numFmtId="0" fontId="8" fillId="0" borderId="0" xfId="0" applyNumberFormat="1" applyFont="1" applyAlignment="1"/>
    <xf numFmtId="0" fontId="8" fillId="0" borderId="0" xfId="0" applyFont="1" applyAlignment="1">
      <alignment horizontal="center"/>
    </xf>
    <xf numFmtId="9" fontId="8" fillId="0" borderId="0" xfId="0" applyNumberFormat="1" applyFont="1" applyAlignment="1">
      <alignment horizontal="center"/>
    </xf>
    <xf numFmtId="0" fontId="0" fillId="0" borderId="0" xfId="0" pivotButton="1"/>
    <xf numFmtId="0" fontId="0" fillId="0" borderId="0" xfId="0" applyNumberFormat="1"/>
    <xf numFmtId="1" fontId="0" fillId="0" borderId="0" xfId="0" applyNumberFormat="1"/>
    <xf numFmtId="9" fontId="0" fillId="0" borderId="0" xfId="0" applyNumberFormat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14" fontId="2" fillId="0" borderId="9" xfId="0" applyNumberFormat="1" applyFont="1" applyBorder="1" applyAlignment="1">
      <alignment horizontal="right"/>
    </xf>
    <xf numFmtId="14" fontId="2" fillId="4" borderId="0" xfId="0" applyNumberFormat="1" applyFont="1" applyFill="1" applyBorder="1"/>
    <xf numFmtId="14" fontId="2" fillId="4" borderId="0" xfId="0" applyNumberFormat="1" applyFont="1" applyFill="1" applyBorder="1" applyAlignment="1">
      <alignment horizontal="right"/>
    </xf>
    <xf numFmtId="14" fontId="2" fillId="0" borderId="0" xfId="0" applyNumberFormat="1" applyFont="1" applyBorder="1" applyAlignment="1">
      <alignment horizontal="right"/>
    </xf>
  </cellXfs>
  <cellStyles count="1">
    <cellStyle name="Normal" xfId="0" builtinId="0"/>
  </cellStyles>
  <dxfs count="14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[$$-2C0A]\ #,##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#,###,##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numFmt numFmtId="166" formatCode="0.0"/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1" formatCode="0"/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3" formatCode="#,##0"/>
      <alignment horizontal="right" vertical="bottom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3" formatCode="#,##0"/>
      <alignment horizontal="right" vertical="bottom" textRotation="0" wrapText="0" indent="0" justifyLastLine="0" shrinkToFit="0" readingOrder="0"/>
    </dxf>
    <dxf>
      <numFmt numFmtId="164" formatCode="#,###,###,##0.00"/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fill>
        <patternFill patternType="solid">
          <fgColor indexed="64"/>
          <bgColor theme="4" tint="0.79998168889431442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0.0%"/>
      <fill>
        <patternFill patternType="solid">
          <fgColor indexed="64"/>
          <bgColor theme="4" tint="0.79998168889431442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3" formatCode="0%"/>
      <fill>
        <patternFill patternType="solid">
          <fgColor indexed="64"/>
          <bgColor theme="4" tint="0.79998168889431442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[$$-2C0A]\ #,##0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3" formatCode="m/d/yyyy"/>
      <alignment horizontal="right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3" formatCode="0%"/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[$$-2C0A]\ #,##0"/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3" formatCode="m/d/yyyy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3" formatCode="0%"/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3" formatCode="m/d/yyyy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166" formatCode="0.0"/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1" formatCode="0"/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3" formatCode="#,##0"/>
      <alignment horizontal="right" vertical="bottom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numFmt numFmtId="0" formatCode="General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numFmt numFmtId="164" formatCode="#,###,###,##0.00"/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0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[Produccion Julio.xlsm]Hoja1!Tabla dinámica2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Solid Edge ISO" panose="020B0B00000000000000" pitchFamily="34" charset="0"/>
                <a:ea typeface="+mn-ea"/>
                <a:cs typeface="+mn-cs"/>
              </a:defRPr>
            </a:pPr>
            <a:r>
              <a:rPr lang="es-AR" sz="2000" u="none"/>
              <a:t>HORAS MÁQUINA RESUMEN ANUAL</a:t>
            </a:r>
          </a:p>
          <a:p>
            <a:pPr>
              <a:defRPr/>
            </a:pPr>
            <a:endParaRPr lang="es-AR"/>
          </a:p>
        </c:rich>
      </c:tx>
      <c:layout>
        <c:manualLayout>
          <c:xMode val="edge"/>
          <c:yMode val="edge"/>
          <c:x val="0.32492196921330779"/>
          <c:y val="7.32281311431641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Solid Edge ISO" panose="020B0B00000000000000" pitchFamily="34" charset="0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Solid Edge ISO" panose="020B0B00000000000000" pitchFamily="34" charset="0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Solid Edge ISO" panose="020B0B00000000000000" pitchFamily="34" charset="0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Solid Edge ISO" panose="020B0B00000000000000" pitchFamily="34" charset="0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4925" cap="rnd">
            <a:solidFill>
              <a:schemeClr val="accent1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Solid Edge ISO" panose="020B0B00000000000000" pitchFamily="34" charset="0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Hoja1!$B$10</c:f>
              <c:strCache>
                <c:ptCount val="1"/>
                <c:pt idx="0">
                  <c:v>Suma de Hs. Maquina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Solid Edge ISO" panose="020B0B00000000000000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Hoja1!$A$11:$A$13</c:f>
              <c:strCache>
                <c:ptCount val="2"/>
                <c:pt idx="0">
                  <c:v>7</c:v>
                </c:pt>
                <c:pt idx="1">
                  <c:v>8</c:v>
                </c:pt>
              </c:strCache>
            </c:strRef>
          </c:cat>
          <c:val>
            <c:numRef>
              <c:f>Hoja1!$B$11:$B$13</c:f>
              <c:numCache>
                <c:formatCode>0</c:formatCode>
                <c:ptCount val="2"/>
                <c:pt idx="0">
                  <c:v>1655.4565277777788</c:v>
                </c:pt>
                <c:pt idx="1">
                  <c:v>311.7905833333333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7-48AF-88D7-3A4253236C0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15980768"/>
        <c:axId val="415981160"/>
      </c:barChart>
      <c:lineChart>
        <c:grouping val="standard"/>
        <c:varyColors val="0"/>
        <c:ser>
          <c:idx val="1"/>
          <c:order val="1"/>
          <c:tx>
            <c:strRef>
              <c:f>Hoja1!$C$10</c:f>
              <c:strCache>
                <c:ptCount val="1"/>
                <c:pt idx="0">
                  <c:v>Promedio de EFICIENCIA HORAS MÁQUINA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Solid Edge ISO" panose="020B0B00000000000000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Hoja1!$A$11:$A$13</c:f>
              <c:strCache>
                <c:ptCount val="2"/>
                <c:pt idx="0">
                  <c:v>7</c:v>
                </c:pt>
                <c:pt idx="1">
                  <c:v>8</c:v>
                </c:pt>
              </c:strCache>
            </c:strRef>
          </c:cat>
          <c:val>
            <c:numRef>
              <c:f>Hoja1!$C$11:$C$13</c:f>
              <c:numCache>
                <c:formatCode>0%</c:formatCode>
                <c:ptCount val="2"/>
                <c:pt idx="0">
                  <c:v>0.65278254249912415</c:v>
                </c:pt>
                <c:pt idx="1">
                  <c:v>0.62861004704301071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B7-48AF-88D7-3A4253236C0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33143760"/>
        <c:axId val="333142976"/>
      </c:lineChart>
      <c:catAx>
        <c:axId val="415980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Solid Edge ISO" panose="020B0B00000000000000" pitchFamily="34" charset="0"/>
                    <a:ea typeface="+mn-ea"/>
                    <a:cs typeface="+mn-cs"/>
                  </a:defRPr>
                </a:pPr>
                <a:r>
                  <a:rPr lang="es-AR"/>
                  <a:t>MES POR NUMERO (1 A 12).</a:t>
                </a:r>
                <a:r>
                  <a:rPr lang="es-AR" baseline="0"/>
                  <a:t> </a:t>
                </a:r>
                <a:r>
                  <a:rPr lang="es-AR"/>
                  <a:t>IDEAL HS 2400 POR 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Solid Edge ISO" panose="020B0B00000000000000" pitchFamily="34" charset="0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Solid Edge ISO" panose="020B0B00000000000000" pitchFamily="34" charset="0"/>
                <a:ea typeface="+mn-ea"/>
                <a:cs typeface="+mn-cs"/>
              </a:defRPr>
            </a:pPr>
            <a:endParaRPr lang="es-AR"/>
          </a:p>
        </c:txPr>
        <c:crossAx val="415981160"/>
        <c:crosses val="autoZero"/>
        <c:auto val="1"/>
        <c:lblAlgn val="ctr"/>
        <c:lblOffset val="100"/>
        <c:noMultiLvlLbl val="0"/>
      </c:catAx>
      <c:valAx>
        <c:axId val="41598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Solid Edge ISO" panose="020B0B00000000000000" pitchFamily="34" charset="0"/>
                    <a:ea typeface="+mn-ea"/>
                    <a:cs typeface="+mn-cs"/>
                  </a:defRPr>
                </a:pPr>
                <a:r>
                  <a:rPr lang="es-AR"/>
                  <a:t>HS.MAQUINA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Solid Edge ISO" panose="020B0B00000000000000" pitchFamily="34" charset="0"/>
                  <a:ea typeface="+mn-ea"/>
                  <a:cs typeface="+mn-cs"/>
                </a:defRPr>
              </a:pPr>
              <a:endParaRPr lang="es-A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Solid Edge ISO" panose="020B0B00000000000000" pitchFamily="34" charset="0"/>
                <a:ea typeface="+mn-ea"/>
                <a:cs typeface="+mn-cs"/>
              </a:defRPr>
            </a:pPr>
            <a:endParaRPr lang="es-AR"/>
          </a:p>
        </c:txPr>
        <c:crossAx val="415980768"/>
        <c:crosses val="autoZero"/>
        <c:crossBetween val="between"/>
      </c:valAx>
      <c:valAx>
        <c:axId val="3331429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Solid Edge ISO" panose="020B0B00000000000000" pitchFamily="34" charset="0"/>
                    <a:ea typeface="+mn-ea"/>
                    <a:cs typeface="+mn-cs"/>
                  </a:defRPr>
                </a:pPr>
                <a:r>
                  <a:rPr lang="es-AR"/>
                  <a:t>EFICIENCIA HS.MAQ EN PORCENTAJE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Solid Edge ISO" panose="020B0B00000000000000" pitchFamily="34" charset="0"/>
                  <a:ea typeface="+mn-ea"/>
                  <a:cs typeface="+mn-cs"/>
                </a:defRPr>
              </a:pPr>
              <a:endParaRPr lang="es-A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Solid Edge ISO" panose="020B0B00000000000000" pitchFamily="34" charset="0"/>
                <a:ea typeface="+mn-ea"/>
                <a:cs typeface="+mn-cs"/>
              </a:defRPr>
            </a:pPr>
            <a:endParaRPr lang="es-AR"/>
          </a:p>
        </c:txPr>
        <c:crossAx val="333143760"/>
        <c:crosses val="max"/>
        <c:crossBetween val="between"/>
      </c:valAx>
      <c:catAx>
        <c:axId val="3331437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33142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Solid Edge ISO" panose="020B0B00000000000000" pitchFamily="34" charset="0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400" baseline="0">
          <a:latin typeface="Solid Edge ISO" panose="020B0B00000000000000" pitchFamily="34" charset="0"/>
        </a:defRPr>
      </a:pPr>
      <a:endParaRPr lang="es-AR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[Produccion Julio.xlsm]Hoja1!Tabla dinámica4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Solid Edge ISO" panose="020B0B00000000000000" pitchFamily="34" charset="0"/>
                <a:ea typeface="+mn-ea"/>
                <a:cs typeface="+mn-cs"/>
              </a:defRPr>
            </a:pPr>
            <a:r>
              <a:rPr lang="es-AR"/>
              <a:t>CANTIDAD DE PIEZAS FABRICADAS FILTRADA POR DETALLE DE PIEZA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Solid Edge ISO" panose="020B0B00000000000000" pitchFamily="34" charset="0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Solid Edge ISO" panose="020B0B00000000000000" pitchFamily="34" charset="0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Hoja1!$B$26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Solid Edge ISO" panose="020B0B00000000000000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Hoja1!$A$27:$A$29</c:f>
              <c:strCache>
                <c:ptCount val="2"/>
                <c:pt idx="0">
                  <c:v>7</c:v>
                </c:pt>
                <c:pt idx="1">
                  <c:v>8</c:v>
                </c:pt>
              </c:strCache>
            </c:strRef>
          </c:cat>
          <c:val>
            <c:numRef>
              <c:f>Hoja1!$B$27:$B$29</c:f>
              <c:numCache>
                <c:formatCode>General</c:formatCode>
                <c:ptCount val="2"/>
                <c:pt idx="0">
                  <c:v>13706</c:v>
                </c:pt>
                <c:pt idx="1">
                  <c:v>2559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10-4A7B-AC14-2AB30E56B3D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41783168"/>
        <c:axId val="341782384"/>
      </c:barChart>
      <c:catAx>
        <c:axId val="341783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Solid Edge ISO" panose="020B0B00000000000000" pitchFamily="34" charset="0"/>
                    <a:ea typeface="+mn-ea"/>
                    <a:cs typeface="+mn-cs"/>
                  </a:defRPr>
                </a:pPr>
                <a:r>
                  <a:rPr lang="es-AR"/>
                  <a:t>NÚMERO DE MES(1 A 12)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Solid Edge ISO" panose="020B0B00000000000000" pitchFamily="34" charset="0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Solid Edge ISO" panose="020B0B00000000000000" pitchFamily="34" charset="0"/>
                <a:ea typeface="+mn-ea"/>
                <a:cs typeface="+mn-cs"/>
              </a:defRPr>
            </a:pPr>
            <a:endParaRPr lang="es-AR"/>
          </a:p>
        </c:txPr>
        <c:crossAx val="341782384"/>
        <c:crosses val="autoZero"/>
        <c:auto val="1"/>
        <c:lblAlgn val="ctr"/>
        <c:lblOffset val="100"/>
        <c:noMultiLvlLbl val="0"/>
      </c:catAx>
      <c:valAx>
        <c:axId val="34178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Solid Edge ISO" panose="020B0B00000000000000" pitchFamily="34" charset="0"/>
                    <a:ea typeface="+mn-ea"/>
                    <a:cs typeface="+mn-cs"/>
                  </a:defRPr>
                </a:pPr>
                <a:r>
                  <a:rPr lang="es-AR"/>
                  <a:t>FABRICADO[UNIDADES]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Solid Edge ISO" panose="020B0B00000000000000" pitchFamily="34" charset="0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Solid Edge ISO" panose="020B0B00000000000000" pitchFamily="34" charset="0"/>
                <a:ea typeface="+mn-ea"/>
                <a:cs typeface="+mn-cs"/>
              </a:defRPr>
            </a:pPr>
            <a:endParaRPr lang="es-AR"/>
          </a:p>
        </c:txPr>
        <c:crossAx val="34178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Solid Edge ISO" panose="020B0B00000000000000" pitchFamily="34" charset="0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400" baseline="0">
          <a:latin typeface="Solid Edge ISO" panose="020B0B00000000000000" pitchFamily="34" charset="0"/>
        </a:defRPr>
      </a:pPr>
      <a:endParaRPr lang="es-AR"/>
    </a:p>
  </c:txPr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564429</xdr:colOff>
      <xdr:row>4</xdr:row>
      <xdr:rowOff>25978</xdr:rowOff>
    </xdr:from>
    <xdr:to>
      <xdr:col>14</xdr:col>
      <xdr:colOff>38966</xdr:colOff>
      <xdr:row>6</xdr:row>
      <xdr:rowOff>51383</xdr:rowOff>
    </xdr:to>
    <xdr:sp macro="[0]!grabar_registro" textlink="">
      <xdr:nvSpPr>
        <xdr:cNvPr id="2" name="1 Rectángulo redondeado"/>
        <xdr:cNvSpPr/>
      </xdr:nvSpPr>
      <xdr:spPr>
        <a:xfrm>
          <a:off x="8175770" y="649433"/>
          <a:ext cx="1137082" cy="4929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GRABAR</a:t>
          </a:r>
        </a:p>
      </xdr:txBody>
    </xdr:sp>
    <xdr:clientData/>
  </xdr:twoCellAnchor>
  <xdr:twoCellAnchor>
    <xdr:from>
      <xdr:col>14</xdr:col>
      <xdr:colOff>157164</xdr:colOff>
      <xdr:row>4</xdr:row>
      <xdr:rowOff>0</xdr:rowOff>
    </xdr:from>
    <xdr:to>
      <xdr:col>16</xdr:col>
      <xdr:colOff>14289</xdr:colOff>
      <xdr:row>6</xdr:row>
      <xdr:rowOff>39687</xdr:rowOff>
    </xdr:to>
    <xdr:sp macro="[0]!borrar_carga" textlink="">
      <xdr:nvSpPr>
        <xdr:cNvPr id="3" name="2 Rectángulo redondeado"/>
        <xdr:cNvSpPr/>
      </xdr:nvSpPr>
      <xdr:spPr>
        <a:xfrm>
          <a:off x="9023352" y="665161"/>
          <a:ext cx="1206500" cy="2794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BORRAR</a:t>
          </a:r>
          <a:r>
            <a:rPr lang="es-ES" sz="1100" baseline="0"/>
            <a:t> CARGA</a:t>
          </a:r>
        </a:p>
        <a:p>
          <a:pPr algn="l"/>
          <a:endParaRPr lang="es-ES" sz="1100"/>
        </a:p>
      </xdr:txBody>
    </xdr:sp>
    <xdr:clientData/>
  </xdr:twoCellAnchor>
  <xdr:twoCellAnchor>
    <xdr:from>
      <xdr:col>14</xdr:col>
      <xdr:colOff>146052</xdr:colOff>
      <xdr:row>6</xdr:row>
      <xdr:rowOff>122239</xdr:rowOff>
    </xdr:from>
    <xdr:to>
      <xdr:col>16</xdr:col>
      <xdr:colOff>55562</xdr:colOff>
      <xdr:row>8</xdr:row>
      <xdr:rowOff>85726</xdr:rowOff>
    </xdr:to>
    <xdr:sp macro="[0]!borrar_turno" textlink="">
      <xdr:nvSpPr>
        <xdr:cNvPr id="5" name="4 Rectángulo redondeado"/>
        <xdr:cNvSpPr/>
      </xdr:nvSpPr>
      <xdr:spPr>
        <a:xfrm>
          <a:off x="9012240" y="1027114"/>
          <a:ext cx="1258885" cy="265112"/>
        </a:xfrm>
        <a:prstGeom prst="roundRect">
          <a:avLst>
            <a:gd name="adj" fmla="val 1966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 baseline="0"/>
            <a:t> BORRAR TURNO</a:t>
          </a:r>
        </a:p>
        <a:p>
          <a:pPr algn="ctr"/>
          <a:endParaRPr lang="es-ES" sz="1100" baseline="0"/>
        </a:p>
        <a:p>
          <a:pPr algn="ctr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autaro" refreshedDate="44836.518407291667" createdVersion="6" refreshedVersion="5" minRefreshableVersion="3" recordCount="379">
  <cacheSource type="worksheet">
    <worksheetSource name="Entrada1"/>
  </cacheSource>
  <cacheFields count="28">
    <cacheField name="Fecha" numFmtId="14">
      <sharedItems containsSemiMixedTypes="0" containsNonDate="0" containsDate="1" containsString="0" minDate="2022-07-01T00:00:00" maxDate="2022-08-05T00:00:00"/>
    </cacheField>
    <cacheField name="Turno" numFmtId="0">
      <sharedItems count="3">
        <s v="Noche"/>
        <s v="Tarde"/>
        <s v="Mañana"/>
      </sharedItems>
    </cacheField>
    <cacheField name="Operador" numFmtId="0">
      <sharedItems containsBlank="1"/>
    </cacheField>
    <cacheField name="Maquina" numFmtId="3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Codigo" numFmtId="0">
      <sharedItems/>
    </cacheField>
    <cacheField name="Detalle" numFmtId="0">
      <sharedItems containsBlank="1" count="36">
        <s v="Mate con Asa PP"/>
        <s v="Problema con Inyectora"/>
        <s v="Tapa Lata 6 Colores"/>
        <s v="Lata Baja Glitter"/>
        <s v="Lata Alta Glitter"/>
        <m/>
        <s v="No funciona por Falta personal"/>
        <s v="Cambio de Molde"/>
        <s v="No funciona p/ problema de inyectora"/>
        <s v="Marco superior pico transparente"/>
        <s v="Vaso Autocebante"/>
        <s v="Jarro Autocebante"/>
        <s v="Vertedor pico transparente"/>
        <s v="Problema molde vaso autocebante"/>
        <s v="Vertedor pico Colores"/>
        <s v="Marco inferior pico NEGRO"/>
        <s v="Problema Con Inyectora "/>
        <s v="Marco superior pico NEGRO"/>
        <s v="Tapa Autocebante"/>
        <s v="Ajuste de Robot"/>
        <s v="Marco inferior pico BLANCO"/>
        <s v="Mate Marwal"/>
        <s v="Falta"/>
        <s v="Problema molde"/>
        <s v="Vertedor pico NEGRO"/>
        <s v="Problema molde tapa lata"/>
        <s v="No funciona p/cambio molde"/>
        <s v="Marco inferior pico transparente"/>
        <s v="No funciona p/ problema de molde"/>
        <s v="Mate con Dije"/>
        <s v="No funciona p/ajuste de molde"/>
        <s v="Disco extractor"/>
        <s v="Problema con Chiller"/>
        <s v="Mate Prisma PP"/>
        <s v="Lata Baja 6 Colores"/>
        <s v="Lata Alta 6 Colores"/>
      </sharedItems>
    </cacheField>
    <cacheField name="Ciclo (s)" numFmtId="3">
      <sharedItems containsString="0" containsBlank="1" containsNumber="1" minValue="0" maxValue="80"/>
    </cacheField>
    <cacheField name="Ciclos" numFmtId="3">
      <sharedItems containsString="0" containsBlank="1" containsNumber="1" minValue="0" maxValue="1478"/>
    </cacheField>
    <cacheField name="Cavidad" numFmtId="3">
      <sharedItems containsString="0" containsBlank="1" containsNumber="1" containsInteger="1" minValue="0" maxValue="8"/>
    </cacheField>
    <cacheField name="2 ºda" numFmtId="3">
      <sharedItems containsString="0" containsBlank="1" containsNumber="1" containsInteger="1" minValue="0" maxValue="89"/>
    </cacheField>
    <cacheField name="Scrap" numFmtId="0">
      <sharedItems containsString="0" containsBlank="1" containsNumber="1" containsInteger="1" minValue="0" maxValue="200"/>
    </cacheField>
    <cacheField name="Nº Lote" numFmtId="0">
      <sharedItems containsString="0" containsBlank="1" containsNumber="1" containsInteger="1" minValue="0" maxValue="184975"/>
    </cacheField>
    <cacheField name="T(s) de Pzs2" numFmtId="0">
      <sharedItems containsSemiMixedTypes="0" containsString="0" containsNumber="1" minValue="0" maxValue="57.4"/>
    </cacheField>
    <cacheField name="Pzs x Hs" numFmtId="0">
      <sharedItems containsSemiMixedTypes="0" containsString="0" containsNumber="1" containsInteger="1" minValue="0" maxValue="1596"/>
    </cacheField>
    <cacheField name="T(s) de Ciclo" numFmtId="0">
      <sharedItems containsSemiMixedTypes="0" containsString="0" containsNumber="1" minValue="0" maxValue="57.4"/>
    </cacheField>
    <cacheField name="Ciclos x Turno" numFmtId="0">
      <sharedItems containsSemiMixedTypes="0" containsString="0" containsNumber="1" containsInteger="1" minValue="0" maxValue="1152"/>
    </cacheField>
    <cacheField name="Cavidades " numFmtId="0">
      <sharedItems containsSemiMixedTypes="0" containsString="0" containsNumber="1" containsInteger="1" minValue="0" maxValue="12"/>
    </cacheField>
    <cacheField name="Peso (gr)" numFmtId="0">
      <sharedItems containsSemiMixedTypes="0" containsString="0" containsNumber="1" minValue="0" maxValue="120"/>
    </cacheField>
    <cacheField name="Material" numFmtId="0">
      <sharedItems containsMixedTypes="1" containsNumber="1" containsInteger="1" minValue="0" maxValue="0"/>
    </cacheField>
    <cacheField name="Fabricado" numFmtId="0">
      <sharedItems containsSemiMixedTypes="0" containsString="0" containsNumber="1" minValue="-10" maxValue="11824"/>
    </cacheField>
    <cacheField name="Material (Kg)" numFmtId="0">
      <sharedItems containsSemiMixedTypes="0" containsString="0" containsNumber="1" minValue="0" maxValue="86.9"/>
    </cacheField>
    <cacheField name="Hs. Maquina" numFmtId="0">
      <sharedItems containsSemiMixedTypes="0" containsString="0" containsNumber="1" minValue="0" maxValue="11.906111111111111" count="271">
        <n v="7.0958333333333332"/>
        <n v="0"/>
        <n v="4.1174999999999997"/>
        <n v="7.75"/>
        <n v="8"/>
        <n v="7.5145"/>
        <n v="7.3179166666666671"/>
        <n v="1.5831666666666668"/>
        <n v="2.3925000000000001"/>
        <n v="8.6666666666666661"/>
        <n v="8.5333333333333332"/>
        <n v="7.9375"/>
        <n v="6.729166666666667"/>
        <n v="6.982499999999999"/>
        <n v="8.221277777777777"/>
        <n v="6.7762500000000001"/>
        <n v="7.5683333333333334"/>
        <n v="4.5573055555555557"/>
        <n v="6.8389444444444436"/>
        <n v="6.3946666666666667"/>
        <n v="8.4819444444444443"/>
        <n v="8.5689999999999991"/>
        <n v="8.1827777777777779"/>
        <n v="6.2602777777777776"/>
        <n v="7.2041666666666666"/>
        <n v="6.5022222222222226"/>
        <n v="7.833333333333333"/>
        <n v="9.5122499999999999"/>
        <n v="6.9333333333333336"/>
        <n v="1.3894444444444445"/>
        <n v="7"/>
        <n v="7.375"/>
        <n v="7.041666666666667"/>
        <n v="1.6666666666666667"/>
        <n v="2.25"/>
        <n v="7.6266666666666669"/>
        <n v="7.7777777777777777"/>
        <n v="7.416666666666667"/>
        <n v="7.8275555555555547"/>
        <n v="6.8400000000000007"/>
        <n v="7.2111111111111112"/>
        <n v="7.1758333333333342"/>
        <n v="4.3160833333333333"/>
        <n v="7.5"/>
        <n v="6.4444444444444446"/>
        <n v="5.3083333333333336"/>
        <n v="6.5"/>
        <n v="6.8409444444444443"/>
        <n v="6.86"/>
        <n v="7.6388888888888893"/>
        <n v="7.0149999999999997"/>
        <n v="7.5802777777777779"/>
        <n v="2.1955555555555555"/>
        <n v="1.3922222222222222"/>
        <n v="1.54"/>
        <n v="7.8933333333333335"/>
        <n v="8.5555555555555554"/>
        <n v="4.8516666666666666"/>
        <n v="7.7"/>
        <n v="11.009444444444444"/>
        <n v="7.74"/>
        <n v="7.1749999999999998"/>
        <n v="6.3777777777777782"/>
        <n v="3.8130555555555556"/>
        <n v="9.5547222222222228"/>
        <n v="8.125"/>
        <n v="5.5"/>
        <n v="5.4450000000000003"/>
        <n v="8.2166666666666668"/>
        <n v="8.84"/>
        <n v="7.2252777777777775"/>
        <n v="3.0750000000000002"/>
        <n v="2.0833333333333335"/>
        <n v="1.5555555555555556"/>
        <n v="4.6608333333333336"/>
        <n v="5.7975000000000003"/>
        <n v="8.0088888888888885"/>
        <n v="7.092305555555555"/>
        <n v="7.6006944444444446"/>
        <n v="0.34027777777777779"/>
        <n v="6.7311111111111108"/>
        <n v="6.5846666666666671"/>
        <n v="5.958333333333333"/>
        <n v="6.625"/>
        <n v="6.8888888888888893"/>
        <n v="5"/>
        <n v="6.7911111111111113"/>
        <n v="9.4791666666666661"/>
        <n v="8.58"/>
        <n v="8.9866666666666664"/>
        <n v="5.3411111111111111"/>
        <n v="8.3027777777777771"/>
        <n v="6.0863055555555556"/>
        <n v="2.821444444444444"/>
        <n v="6.72"/>
        <n v="4.9381944444444441"/>
        <n v="5.3666666666666663"/>
        <n v="9.1666666666666661"/>
        <n v="8.2666666666666675"/>
        <n v="7.9083333333333332"/>
        <n v="8.9166666666666661"/>
        <n v="7.5791666666666666"/>
        <n v="8.3555555555555561"/>
        <n v="3.9180555555555552"/>
        <n v="2.5299999999999998"/>
        <n v="2.6527777777777777"/>
        <n v="7.0525000000000002"/>
        <n v="7.8890000000000002"/>
        <n v="6.3773888888888894"/>
        <n v="5.81"/>
        <n v="7.7662500000000012"/>
        <n v="6.6111111111111107"/>
        <n v="7.2450000000000001"/>
        <n v="7.2"/>
        <n v="7.9111111111111114"/>
        <n v="7.5562500000000004"/>
        <n v="6.9690000000000003"/>
        <n v="5.2340833333333334"/>
        <n v="3.6765555555555558"/>
        <n v="6.235555555555556"/>
        <n v="7.7481111111111103"/>
        <n v="6.7855833333333342"/>
        <n v="8.2496111111111112"/>
        <n v="10.15"/>
        <n v="6.9916666666666663"/>
        <n v="8.8249999999999993"/>
        <n v="11.906111111111111"/>
        <n v="5.6833333333333336"/>
        <n v="8.1891666666666669"/>
        <n v="6.2222222222222223"/>
        <n v="0.91"/>
        <n v="7.5291666666666668"/>
        <n v="7.235555555555556"/>
        <n v="6.1658333333333335"/>
        <n v="0.61341666666666661"/>
        <n v="5.9786666666666672"/>
        <n v="7.2666666666666666"/>
        <n v="7.9508333333333336"/>
        <n v="7.1555555555555559"/>
        <n v="7.1166666666666663"/>
        <n v="5.9616666666666669"/>
        <n v="7.6111111111111107"/>
        <n v="7.4666666666666668"/>
        <n v="7.1111111111111107"/>
        <n v="6"/>
        <n v="7.0972222222222223"/>
        <n v="5.2444444444444445"/>
        <n v="0.28416666666666668"/>
        <n v="1.87"/>
        <n v="4.25"/>
        <n v="7.666666666666667"/>
        <n v="7.3466666666666667"/>
        <n v="7.5250000000000004"/>
        <n v="6.8550000000000004"/>
        <n v="6.3183333333333334"/>
        <n v="7.3111111111111109"/>
        <n v="6.3194444444444446"/>
        <n v="2.12"/>
        <n v="5.2777777777777778E-2"/>
        <n v="5.4044444444444446"/>
        <n v="5.8888888888888893"/>
        <n v="9.2963888888888881"/>
        <n v="6.666666666666667"/>
        <n v="7.7625000000000002"/>
        <n v="4.958333333333333"/>
        <n v="7.1875"/>
        <n v="5.1902777777777782"/>
        <n v="7.5862500000000006"/>
        <n v="7.2337777777777781"/>
        <n v="7.15"/>
        <n v="5.5670833333333336"/>
        <n v="6.5009166666666669"/>
        <n v="6.3741944444444449"/>
        <n v="8.8377499999999998"/>
        <n v="6.34"/>
        <n v="7.5175000000000001"/>
        <n v="7.6555555555555559"/>
        <n v="7.3280555555555553"/>
        <n v="7.4641666666666664"/>
        <n v="7.64"/>
        <n v="8.2838888888888889"/>
        <n v="7.7733333333333334"/>
        <n v="8.0266666666666673"/>
        <n v="7.9569999999999999"/>
        <n v="8.1240555555555556"/>
        <n v="9.1233333333333331"/>
        <n v="7.8473333333333342"/>
        <n v="7.9308333333333332"/>
        <n v="5.4444444444444446"/>
        <n v="7.6"/>
        <n v="5.6944444444444446"/>
        <n v="6.8055555555555554"/>
        <n v="8.2333333333333325"/>
        <n v="7.8763888888888891"/>
        <n v="7.3611111111111107"/>
        <n v="6.2180555555555559"/>
        <n v="2.7777777777777777"/>
        <n v="7.5350000000000001"/>
        <n v="7.3944444444444448"/>
        <n v="8.3916666666666675"/>
        <n v="7.8246666666666664"/>
        <n v="6.871666666666667"/>
        <n v="4.8947222222222226"/>
        <n v="7.2022222222222219"/>
        <n v="9.1145833333333339"/>
        <n v="8.2463055555555549"/>
        <n v="8.1412499999999994"/>
        <n v="7.5650000000000004"/>
        <n v="10.293333333333333"/>
        <n v="7.2333333333333334"/>
        <n v="6.9375"/>
        <n v="7.291666666666667"/>
        <n v="5.76"/>
        <n v="7.5437500000000002"/>
        <n v="7.5616666666666665"/>
        <n v="6.5503333333333336"/>
        <n v="6.4305555555555554"/>
        <n v="7.1597777777777782"/>
        <n v="7.3651111111111103"/>
        <n v="8.5009166666666669"/>
        <n v="3.6880555555555556"/>
        <n v="5.7886111111111109"/>
        <n v="6.3839999999999995"/>
        <n v="7.2944444444444443"/>
        <n v="6.2050000000000001"/>
        <n v="4.7791666666666668"/>
        <n v="7.6275000000000004"/>
        <n v="6.51"/>
        <n v="8.5519999999999996"/>
        <n v="5.7777777777777777"/>
        <n v="6.3125"/>
        <n v="6.7166666666666668"/>
        <n v="7.9444444444444446"/>
        <n v="7.331666666666667"/>
        <n v="7.253333333333333"/>
        <n v="8.1541666666666668"/>
        <n v="6.315833333333333"/>
        <n v="1.40625"/>
        <n v="6.3650000000000002"/>
        <n v="6.5447499999999996"/>
        <n v="7.5761666666666665"/>
        <n v="4.9523333333333337"/>
        <n v="6.2625000000000002"/>
        <n v="7.916666666666667"/>
        <n v="5.1796388888888893"/>
        <n v="8.0250000000000004"/>
        <n v="7.3522222222222222"/>
        <n v="7.6805555555555554"/>
        <n v="7.2936111111111108"/>
        <n v="4.9977777777777774"/>
        <n v="5.69"/>
        <n v="7.612222222222222"/>
        <n v="6.585"/>
        <n v="7.6844444444444449"/>
        <n v="5.9222222222222225"/>
        <n v="7.32"/>
        <n v="7.3758333333333335"/>
        <n v="7.493611111111111"/>
        <n v="6.6512500000000001"/>
        <n v="7.2307500000000005"/>
        <n v="6.6986111111111111"/>
        <n v="6.8"/>
        <n v="8.75"/>
        <n v="6.2874999999999996"/>
        <n v="5.6388888888888893"/>
        <n v="7.2166666666666668"/>
        <n v="5.9349166666666671"/>
        <n v="3.9173333333333336"/>
        <n v="6.8994444444444447"/>
        <n v="7.4658333333333333"/>
        <n v="6.293333333333333"/>
      </sharedItems>
    </cacheField>
    <cacheField name="Eficacia" numFmtId="9">
      <sharedItems containsSemiMixedTypes="0" containsString="0" containsNumber="1" minValue="0" maxValue="1.7403314917127073"/>
    </cacheField>
    <cacheField name="COD.DIA" numFmtId="0">
      <sharedItems containsSemiMixedTypes="0" containsString="0" containsNumber="1" containsInteger="1" minValue="2" maxValue="6"/>
    </cacheField>
    <cacheField name="MES" numFmtId="0">
      <sharedItems containsSemiMixedTypes="0" containsString="0" containsNumber="1" containsInteger="1" minValue="7" maxValue="8" count="2">
        <n v="8"/>
        <n v="7"/>
      </sharedItems>
    </cacheField>
    <cacheField name="SEM.DEL MES" numFmtId="1">
      <sharedItems containsSemiMixedTypes="0" containsString="0" containsNumber="1" containsInteger="1" minValue="1" maxValue="5" count="5">
        <n v="1"/>
        <n v="5"/>
        <n v="4"/>
        <n v="3"/>
        <n v="2"/>
      </sharedItems>
    </cacheField>
    <cacheField name="EFICIENCIA HORAS MÁQUINA" numFmtId="171">
      <sharedItems containsSemiMixedTypes="0" containsString="0" containsNumber="1" minValue="0" maxValue="1.4882638888888888" count="271">
        <n v="0.88697916666666665"/>
        <n v="0"/>
        <n v="0.51468749999999996"/>
        <n v="0.96875"/>
        <n v="1"/>
        <n v="0.93931249999999999"/>
        <n v="0.91473958333333338"/>
        <n v="0.19789583333333335"/>
        <n v="0.29906250000000001"/>
        <n v="1.0833333333333333"/>
        <n v="1.0666666666666667"/>
        <n v="0.9921875"/>
        <n v="0.84114583333333337"/>
        <n v="0.87281249999999988"/>
        <n v="1.0276597222222221"/>
        <n v="0.84703125000000001"/>
        <n v="0.94604166666666667"/>
        <n v="0.56966319444444447"/>
        <n v="0.85486805555555545"/>
        <n v="0.79933333333333334"/>
        <n v="1.0602430555555555"/>
        <n v="1.0711249999999999"/>
        <n v="1.0228472222222222"/>
        <n v="0.7825347222222222"/>
        <n v="0.90052083333333333"/>
        <n v="0.81277777777777782"/>
        <n v="0.97916666666666663"/>
        <n v="1.18903125"/>
        <n v="0.8666666666666667"/>
        <n v="0.17368055555555556"/>
        <n v="0.875"/>
        <n v="0.921875"/>
        <n v="0.88020833333333337"/>
        <n v="0.20833333333333334"/>
        <n v="0.28125"/>
        <n v="0.95333333333333337"/>
        <n v="0.97222222222222221"/>
        <n v="0.92708333333333337"/>
        <n v="0.97844444444444434"/>
        <n v="0.85500000000000009"/>
        <n v="0.90138888888888891"/>
        <n v="0.89697916666666677"/>
        <n v="0.53951041666666666"/>
        <n v="0.9375"/>
        <n v="0.80555555555555558"/>
        <n v="0.6635416666666667"/>
        <n v="0.8125"/>
        <n v="0.85511805555555553"/>
        <n v="0.85750000000000004"/>
        <n v="0.95486111111111116"/>
        <n v="0.87687499999999996"/>
        <n v="0.94753472222222224"/>
        <n v="0.27444444444444444"/>
        <n v="0.17402777777777778"/>
        <n v="0.1925"/>
        <n v="0.98666666666666669"/>
        <n v="1.0694444444444444"/>
        <n v="0.60645833333333332"/>
        <n v="0.96250000000000002"/>
        <n v="1.3761805555555555"/>
        <n v="0.96750000000000003"/>
        <n v="0.89687499999999998"/>
        <n v="0.79722222222222228"/>
        <n v="0.47663194444444446"/>
        <n v="1.1943402777777778"/>
        <n v="1.015625"/>
        <n v="0.6875"/>
        <n v="0.68062500000000004"/>
        <n v="1.0270833333333333"/>
        <n v="1.105"/>
        <n v="0.90315972222222218"/>
        <n v="0.38437500000000002"/>
        <n v="0.26041666666666669"/>
        <n v="0.19444444444444445"/>
        <n v="0.5826041666666667"/>
        <n v="0.72468750000000004"/>
        <n v="1.0011111111111111"/>
        <n v="0.88653819444444437"/>
        <n v="0.95008680555555558"/>
        <n v="4.2534722222222224E-2"/>
        <n v="0.84138888888888885"/>
        <n v="0.82308333333333339"/>
        <n v="0.74479166666666663"/>
        <n v="0.828125"/>
        <n v="0.86111111111111116"/>
        <n v="0.625"/>
        <n v="0.84888888888888892"/>
        <n v="1.1848958333333333"/>
        <n v="1.0725"/>
        <n v="1.1233333333333333"/>
        <n v="0.66763888888888889"/>
        <n v="1.0378472222222221"/>
        <n v="0.76078819444444445"/>
        <n v="0.3526805555555555"/>
        <n v="0.84"/>
        <n v="0.61727430555555551"/>
        <n v="0.67083333333333328"/>
        <n v="1.1458333333333333"/>
        <n v="1.0333333333333334"/>
        <n v="0.98854166666666665"/>
        <n v="1.1145833333333333"/>
        <n v="0.94739583333333333"/>
        <n v="1.0444444444444445"/>
        <n v="0.4897569444444444"/>
        <n v="0.31624999999999998"/>
        <n v="0.33159722222222221"/>
        <n v="0.88156250000000003"/>
        <n v="0.98612500000000003"/>
        <n v="0.79717361111111118"/>
        <n v="0.72624999999999995"/>
        <n v="0.97078125000000015"/>
        <n v="0.82638888888888884"/>
        <n v="0.90562500000000001"/>
        <n v="0.9"/>
        <n v="0.98888888888888893"/>
        <n v="0.94453125000000004"/>
        <n v="0.87112500000000004"/>
        <n v="0.65426041666666668"/>
        <n v="0.45956944444444447"/>
        <n v="0.7794444444444445"/>
        <n v="0.96851388888888879"/>
        <n v="0.84819791666666677"/>
        <n v="1.0312013888888889"/>
        <n v="1.26875"/>
        <n v="0.87395833333333328"/>
        <n v="1.1031249999999999"/>
        <n v="1.4882638888888888"/>
        <n v="0.7104166666666667"/>
        <n v="1.0236458333333334"/>
        <n v="0.77777777777777779"/>
        <n v="0.11375"/>
        <n v="0.94114583333333335"/>
        <n v="0.9044444444444445"/>
        <n v="0.77072916666666669"/>
        <n v="7.6677083333333326E-2"/>
        <n v="0.7473333333333334"/>
        <n v="0.90833333333333333"/>
        <n v="0.99385416666666671"/>
        <n v="0.89444444444444449"/>
        <n v="0.88958333333333328"/>
        <n v="0.74520833333333336"/>
        <n v="0.95138888888888884"/>
        <n v="0.93333333333333335"/>
        <n v="0.88888888888888884"/>
        <n v="0.75"/>
        <n v="0.88715277777777779"/>
        <n v="0.65555555555555556"/>
        <n v="3.5520833333333335E-2"/>
        <n v="0.23375000000000001"/>
        <n v="0.53125"/>
        <n v="0.95833333333333337"/>
        <n v="0.91833333333333333"/>
        <n v="0.94062500000000004"/>
        <n v="0.85687500000000005"/>
        <n v="0.78979166666666667"/>
        <n v="0.91388888888888886"/>
        <n v="0.78993055555555558"/>
        <n v="0.26500000000000001"/>
        <n v="6.5972222222222222E-3"/>
        <n v="0.67555555555555558"/>
        <n v="0.73611111111111116"/>
        <n v="1.162048611111111"/>
        <n v="0.83333333333333337"/>
        <n v="0.97031250000000002"/>
        <n v="0.61979166666666663"/>
        <n v="0.8984375"/>
        <n v="0.64878472222222228"/>
        <n v="0.94828125000000008"/>
        <n v="0.90422222222222226"/>
        <n v="0.89375000000000004"/>
        <n v="0.6958854166666667"/>
        <n v="0.81261458333333336"/>
        <n v="0.79677430555555562"/>
        <n v="1.10471875"/>
        <n v="0.79249999999999998"/>
        <n v="0.93968750000000001"/>
        <n v="0.95694444444444449"/>
        <n v="0.91600694444444442"/>
        <n v="0.9330208333333333"/>
        <n v="0.95499999999999996"/>
        <n v="1.0354861111111111"/>
        <n v="0.97166666666666668"/>
        <n v="1.0033333333333334"/>
        <n v="0.99462499999999998"/>
        <n v="1.0155069444444444"/>
        <n v="1.1404166666666666"/>
        <n v="0.98091666666666677"/>
        <n v="0.99135416666666665"/>
        <n v="0.68055555555555558"/>
        <n v="0.95"/>
        <n v="0.71180555555555558"/>
        <n v="0.85069444444444442"/>
        <n v="1.0291666666666666"/>
        <n v="0.98454861111111114"/>
        <n v="0.92013888888888884"/>
        <n v="0.77725694444444449"/>
        <n v="0.34722222222222221"/>
        <n v="0.94187500000000002"/>
        <n v="0.9243055555555556"/>
        <n v="1.0489583333333334"/>
        <n v="0.9780833333333333"/>
        <n v="0.85895833333333338"/>
        <n v="0.61184027777777783"/>
        <n v="0.90027777777777773"/>
        <n v="1.1393229166666667"/>
        <n v="1.0307881944444444"/>
        <n v="1.0176562499999999"/>
        <n v="0.94562500000000005"/>
        <n v="1.2866666666666666"/>
        <n v="0.90416666666666667"/>
        <n v="0.8671875"/>
        <n v="0.91145833333333337"/>
        <n v="0.72"/>
        <n v="0.94296875000000002"/>
        <n v="0.94520833333333332"/>
        <n v="0.8187916666666667"/>
        <n v="0.80381944444444442"/>
        <n v="0.89497222222222228"/>
        <n v="0.92063888888888878"/>
        <n v="1.0626145833333334"/>
        <n v="0.46100694444444446"/>
        <n v="0.72357638888888887"/>
        <n v="0.79799999999999993"/>
        <n v="0.91180555555555554"/>
        <n v="0.77562500000000001"/>
        <n v="0.59739583333333335"/>
        <n v="0.95343750000000005"/>
        <n v="0.81374999999999997"/>
        <n v="1.069"/>
        <n v="0.72222222222222221"/>
        <n v="0.7890625"/>
        <n v="0.83958333333333335"/>
        <n v="0.99305555555555558"/>
        <n v="0.91645833333333337"/>
        <n v="0.90666666666666662"/>
        <n v="1.0192708333333333"/>
        <n v="0.78947916666666662"/>
        <n v="0.17578125"/>
        <n v="0.79562500000000003"/>
        <n v="0.81809374999999995"/>
        <n v="0.94702083333333331"/>
        <n v="0.61904166666666671"/>
        <n v="0.78281250000000002"/>
        <n v="0.98958333333333337"/>
        <n v="0.64745486111111117"/>
        <n v="1.003125"/>
        <n v="0.91902777777777778"/>
        <n v="0.96006944444444442"/>
        <n v="0.91170138888888885"/>
        <n v="0.62472222222222218"/>
        <n v="0.71125000000000005"/>
        <n v="0.95152777777777775"/>
        <n v="0.823125"/>
        <n v="0.96055555555555561"/>
        <n v="0.74027777777777781"/>
        <n v="0.91500000000000004"/>
        <n v="0.92197916666666668"/>
        <n v="0.93670138888888888"/>
        <n v="0.83140625000000001"/>
        <n v="0.90384375000000006"/>
        <n v="0.83732638888888888"/>
        <n v="0.85"/>
        <n v="1.09375"/>
        <n v="0.78593749999999996"/>
        <n v="0.70486111111111116"/>
        <n v="0.90208333333333335"/>
        <n v="0.74186458333333338"/>
        <n v="0.48966666666666669"/>
        <n v="0.86243055555555559"/>
        <n v="0.93322916666666667"/>
        <n v="0.78666666666666663"/>
      </sharedItems>
    </cacheField>
    <cacheField name="ASISTENCIAS" numFmtId="1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9">
  <r>
    <d v="2022-08-04T00:00:00"/>
    <x v="0"/>
    <s v="Matias"/>
    <x v="0"/>
    <s v="02PZ0302"/>
    <x v="0"/>
    <n v="39"/>
    <n v="655"/>
    <n v="1"/>
    <m/>
    <n v="15"/>
    <n v="184975"/>
    <n v="48"/>
    <n v="75"/>
    <n v="48"/>
    <n v="600"/>
    <n v="1"/>
    <n v="105"/>
    <s v="PP"/>
    <n v="640"/>
    <n v="0.105"/>
    <x v="0"/>
    <n v="1.0916666666666666"/>
    <n v="5"/>
    <x v="0"/>
    <x v="0"/>
    <x v="0"/>
    <n v="1"/>
  </r>
  <r>
    <d v="2022-08-04T00:00:00"/>
    <x v="0"/>
    <s v="**************"/>
    <x v="1"/>
    <s v="02PZ03200"/>
    <x v="1"/>
    <m/>
    <m/>
    <n v="1"/>
    <m/>
    <m/>
    <n v="184975"/>
    <n v="0"/>
    <n v="0"/>
    <n v="0"/>
    <n v="0"/>
    <n v="0"/>
    <n v="0"/>
    <n v="0"/>
    <n v="0"/>
    <n v="0"/>
    <x v="1"/>
    <n v="0"/>
    <n v="5"/>
    <x v="0"/>
    <x v="0"/>
    <x v="1"/>
    <n v="1"/>
  </r>
  <r>
    <d v="2022-08-04T00:00:00"/>
    <x v="0"/>
    <s v="Brian"/>
    <x v="2"/>
    <s v="02PZ03200"/>
    <x v="1"/>
    <n v="24"/>
    <m/>
    <m/>
    <m/>
    <m/>
    <n v="184975"/>
    <n v="0"/>
    <n v="0"/>
    <n v="0"/>
    <n v="0"/>
    <n v="0"/>
    <n v="0"/>
    <n v="0"/>
    <n v="0"/>
    <n v="0"/>
    <x v="1"/>
    <n v="0"/>
    <n v="5"/>
    <x v="0"/>
    <x v="0"/>
    <x v="1"/>
    <n v="1"/>
  </r>
  <r>
    <d v="2022-08-04T00:00:00"/>
    <x v="0"/>
    <s v="Brian"/>
    <x v="2"/>
    <s v="02PZ0316"/>
    <x v="2"/>
    <n v="24.3"/>
    <n v="610"/>
    <n v="1"/>
    <m/>
    <n v="9"/>
    <n v="184975"/>
    <n v="30"/>
    <n v="120"/>
    <n v="30"/>
    <n v="960"/>
    <n v="1"/>
    <n v="20"/>
    <s v="PP"/>
    <n v="601"/>
    <n v="0.02"/>
    <x v="2"/>
    <n v="0.63541666666666663"/>
    <n v="5"/>
    <x v="0"/>
    <x v="0"/>
    <x v="2"/>
    <n v="1"/>
  </r>
  <r>
    <d v="2022-08-04T00:00:00"/>
    <x v="0"/>
    <s v="Brian"/>
    <x v="3"/>
    <s v="02PZ0319"/>
    <x v="3"/>
    <n v="45"/>
    <n v="620"/>
    <n v="1"/>
    <m/>
    <n v="6"/>
    <n v="184975"/>
    <n v="35"/>
    <n v="103"/>
    <n v="35"/>
    <n v="824"/>
    <n v="1"/>
    <n v="65"/>
    <s v="PP"/>
    <n v="614"/>
    <n v="6.5000000000000002E-2"/>
    <x v="3"/>
    <n v="0.75242718446601942"/>
    <n v="5"/>
    <x v="0"/>
    <x v="0"/>
    <x v="3"/>
    <n v="1"/>
  </r>
  <r>
    <d v="2022-08-04T00:00:00"/>
    <x v="0"/>
    <s v="Matias"/>
    <x v="4"/>
    <s v="02PZ0318"/>
    <x v="4"/>
    <n v="45"/>
    <n v="640"/>
    <n v="1"/>
    <m/>
    <n v="1"/>
    <n v="184975"/>
    <n v="35"/>
    <n v="103"/>
    <n v="35"/>
    <n v="824"/>
    <n v="1"/>
    <n v="110"/>
    <s v="PP"/>
    <n v="639"/>
    <n v="0.11"/>
    <x v="4"/>
    <n v="0.77669902912621358"/>
    <n v="5"/>
    <x v="0"/>
    <x v="0"/>
    <x v="4"/>
    <n v="1"/>
  </r>
  <r>
    <d v="2022-08-04T00:00:00"/>
    <x v="1"/>
    <s v="Julian"/>
    <x v="3"/>
    <s v="02PZ0319"/>
    <x v="3"/>
    <n v="39.9"/>
    <n v="678"/>
    <n v="1"/>
    <n v="27"/>
    <n v="0"/>
    <n v="184975"/>
    <n v="35"/>
    <n v="103"/>
    <n v="35"/>
    <n v="824"/>
    <n v="1"/>
    <n v="65"/>
    <s v="PP"/>
    <n v="651"/>
    <n v="6.5000000000000002E-2"/>
    <x v="5"/>
    <n v="0.82281553398058249"/>
    <n v="5"/>
    <x v="0"/>
    <x v="0"/>
    <x v="5"/>
    <n v="1"/>
  </r>
  <r>
    <d v="2022-08-04T00:00:00"/>
    <x v="1"/>
    <s v="Julian"/>
    <x v="4"/>
    <s v="02PZ0318"/>
    <x v="4"/>
    <n v="45.5"/>
    <n v="579"/>
    <n v="1"/>
    <n v="13"/>
    <n v="0"/>
    <n v="184975"/>
    <n v="35"/>
    <n v="103"/>
    <n v="35"/>
    <n v="824"/>
    <n v="1"/>
    <n v="110"/>
    <s v="PP"/>
    <n v="566"/>
    <n v="0.11"/>
    <x v="6"/>
    <n v="0.70266990291262132"/>
    <n v="5"/>
    <x v="0"/>
    <x v="0"/>
    <x v="6"/>
    <n v="1"/>
  </r>
  <r>
    <d v="2022-08-04T00:00:00"/>
    <x v="1"/>
    <s v="Gustavo"/>
    <x v="2"/>
    <s v="02PZ0316"/>
    <x v="2"/>
    <n v="32.200000000000003"/>
    <n v="177"/>
    <n v="1"/>
    <n v="0"/>
    <n v="12"/>
    <n v="184975"/>
    <n v="30"/>
    <n v="120"/>
    <n v="30"/>
    <n v="960"/>
    <n v="1"/>
    <n v="20"/>
    <s v="PP"/>
    <n v="165"/>
    <n v="0.02"/>
    <x v="7"/>
    <n v="0.18437500000000001"/>
    <n v="5"/>
    <x v="0"/>
    <x v="0"/>
    <x v="7"/>
    <n v="1"/>
  </r>
  <r>
    <d v="2022-08-04T00:00:00"/>
    <x v="1"/>
    <s v="Gustavo"/>
    <x v="0"/>
    <s v="02PZ0302"/>
    <x v="0"/>
    <n v="43.5"/>
    <n v="198"/>
    <n v="1"/>
    <n v="3"/>
    <n v="0"/>
    <n v="184975"/>
    <n v="48"/>
    <n v="75"/>
    <n v="48"/>
    <n v="600"/>
    <n v="1"/>
    <n v="105"/>
    <s v="PP"/>
    <n v="195"/>
    <n v="0.105"/>
    <x v="8"/>
    <n v="0.33"/>
    <n v="5"/>
    <x v="0"/>
    <x v="0"/>
    <x v="8"/>
    <n v="1"/>
  </r>
  <r>
    <d v="2022-08-04T00:00:00"/>
    <x v="1"/>
    <s v="Gustavo"/>
    <x v="1"/>
    <s v="02PZ03200"/>
    <x v="1"/>
    <m/>
    <m/>
    <m/>
    <m/>
    <m/>
    <m/>
    <n v="0"/>
    <n v="0"/>
    <n v="0"/>
    <n v="0"/>
    <n v="0"/>
    <n v="0"/>
    <n v="0"/>
    <n v="0"/>
    <n v="0"/>
    <x v="1"/>
    <n v="0"/>
    <n v="5"/>
    <x v="0"/>
    <x v="0"/>
    <x v="1"/>
    <n v="1"/>
  </r>
  <r>
    <d v="2022-08-04T00:00:00"/>
    <x v="2"/>
    <s v="Lautaro"/>
    <x v="0"/>
    <s v="02PZ0302"/>
    <x v="0"/>
    <n v="48"/>
    <n v="650"/>
    <n v="1"/>
    <n v="5"/>
    <n v="10"/>
    <n v="184975"/>
    <n v="48"/>
    <n v="75"/>
    <n v="48"/>
    <n v="600"/>
    <n v="1"/>
    <n v="105"/>
    <s v="PP"/>
    <n v="635"/>
    <n v="0.105"/>
    <x v="9"/>
    <n v="1.0833333333333333"/>
    <n v="5"/>
    <x v="0"/>
    <x v="0"/>
    <x v="9"/>
    <n v="1"/>
  </r>
  <r>
    <d v="2022-08-04T00:00:00"/>
    <x v="2"/>
    <s v="**************"/>
    <x v="1"/>
    <s v="02PZ03200"/>
    <x v="1"/>
    <m/>
    <m/>
    <m/>
    <m/>
    <m/>
    <m/>
    <n v="0"/>
    <n v="0"/>
    <n v="0"/>
    <n v="0"/>
    <n v="0"/>
    <n v="0"/>
    <n v="0"/>
    <n v="0"/>
    <n v="0"/>
    <x v="1"/>
    <n v="0"/>
    <n v="5"/>
    <x v="0"/>
    <x v="0"/>
    <x v="1"/>
    <n v="1"/>
  </r>
  <r>
    <d v="2022-08-04T00:00:00"/>
    <x v="2"/>
    <s v="Gaston"/>
    <x v="2"/>
    <s v="02PZ0316"/>
    <x v="2"/>
    <n v="32"/>
    <n v="960"/>
    <n v="1"/>
    <m/>
    <n v="30"/>
    <n v="184975"/>
    <n v="30"/>
    <n v="120"/>
    <n v="30"/>
    <n v="960"/>
    <n v="1"/>
    <n v="20"/>
    <s v="PP"/>
    <n v="930"/>
    <n v="0.02"/>
    <x v="10"/>
    <n v="1"/>
    <n v="5"/>
    <x v="0"/>
    <x v="0"/>
    <x v="10"/>
    <n v="1"/>
  </r>
  <r>
    <d v="2022-08-04T00:00:00"/>
    <x v="2"/>
    <s v="Lucas"/>
    <x v="3"/>
    <s v="02PZ0319"/>
    <x v="3"/>
    <n v="45"/>
    <n v="635"/>
    <n v="1"/>
    <m/>
    <n v="10"/>
    <n v="184975"/>
    <n v="35"/>
    <n v="103"/>
    <n v="35"/>
    <n v="824"/>
    <n v="1"/>
    <n v="65"/>
    <s v="PP"/>
    <n v="625"/>
    <n v="6.5000000000000002E-2"/>
    <x v="11"/>
    <n v="0.77063106796116509"/>
    <n v="5"/>
    <x v="0"/>
    <x v="0"/>
    <x v="11"/>
    <n v="1"/>
  </r>
  <r>
    <d v="2022-08-04T00:00:00"/>
    <x v="2"/>
    <s v="Lucas"/>
    <x v="4"/>
    <s v="02PZ0318"/>
    <x v="4"/>
    <n v="47.5"/>
    <n v="510"/>
    <n v="1"/>
    <m/>
    <n v="20"/>
    <n v="184975"/>
    <n v="35"/>
    <n v="103"/>
    <n v="35"/>
    <n v="824"/>
    <n v="1"/>
    <n v="110"/>
    <s v="PP"/>
    <n v="490"/>
    <n v="0.11"/>
    <x v="12"/>
    <n v="0.6189320388349514"/>
    <n v="5"/>
    <x v="0"/>
    <x v="0"/>
    <x v="12"/>
    <n v="1"/>
  </r>
  <r>
    <d v="2022-08-03T00:00:00"/>
    <x v="0"/>
    <s v="**************"/>
    <x v="0"/>
    <s v="02PZ03200"/>
    <x v="1"/>
    <m/>
    <m/>
    <m/>
    <m/>
    <m/>
    <m/>
    <n v="0"/>
    <n v="0"/>
    <n v="0"/>
    <n v="0"/>
    <n v="0"/>
    <n v="0"/>
    <n v="0"/>
    <n v="0"/>
    <n v="0"/>
    <x v="1"/>
    <n v="0"/>
    <n v="4"/>
    <x v="0"/>
    <x v="0"/>
    <x v="1"/>
    <n v="1"/>
  </r>
  <r>
    <d v="2022-08-03T00:00:00"/>
    <x v="0"/>
    <s v="Matias"/>
    <x v="1"/>
    <s v="02PZ0302"/>
    <x v="0"/>
    <n v="37.799999999999997"/>
    <n v="665"/>
    <n v="1"/>
    <m/>
    <n v="10"/>
    <n v="184975"/>
    <n v="48"/>
    <n v="75"/>
    <n v="48"/>
    <n v="600"/>
    <n v="1"/>
    <n v="105"/>
    <s v="PP"/>
    <n v="655"/>
    <n v="0.105"/>
    <x v="13"/>
    <n v="1.1083333333333334"/>
    <n v="4"/>
    <x v="0"/>
    <x v="0"/>
    <x v="13"/>
    <n v="1"/>
  </r>
  <r>
    <d v="2022-08-03T00:00:00"/>
    <x v="0"/>
    <s v="Brian"/>
    <x v="2"/>
    <s v="02PZ0316"/>
    <x v="2"/>
    <n v="24.2"/>
    <n v="1223"/>
    <n v="1"/>
    <m/>
    <n v="12"/>
    <n v="184975"/>
    <n v="30"/>
    <n v="120"/>
    <n v="30"/>
    <n v="960"/>
    <n v="1"/>
    <n v="20"/>
    <s v="PP"/>
    <n v="1211"/>
    <n v="0.02"/>
    <x v="14"/>
    <n v="1.2739583333333333"/>
    <n v="4"/>
    <x v="0"/>
    <x v="0"/>
    <x v="14"/>
    <n v="1"/>
  </r>
  <r>
    <d v="2022-08-03T00:00:00"/>
    <x v="0"/>
    <s v="Brian"/>
    <x v="3"/>
    <s v="02PZ0319"/>
    <x v="5"/>
    <n v="41.7"/>
    <n v="585"/>
    <n v="1"/>
    <m/>
    <n v="9"/>
    <n v="184975"/>
    <n v="35"/>
    <n v="103"/>
    <n v="35"/>
    <n v="824"/>
    <n v="1"/>
    <n v="65"/>
    <s v="PP"/>
    <n v="576"/>
    <n v="6.5000000000000002E-2"/>
    <x v="15"/>
    <n v="0.70995145631067957"/>
    <n v="4"/>
    <x v="0"/>
    <x v="0"/>
    <x v="15"/>
    <n v="1"/>
  </r>
  <r>
    <d v="2022-08-03T00:00:00"/>
    <x v="0"/>
    <s v="Matias"/>
    <x v="4"/>
    <s v="02PZ0318"/>
    <x v="4"/>
    <n v="47.8"/>
    <n v="570"/>
    <n v="1"/>
    <m/>
    <n v="1"/>
    <n v="184975"/>
    <n v="35"/>
    <n v="103"/>
    <n v="35"/>
    <n v="824"/>
    <n v="1"/>
    <n v="110"/>
    <s v="PP"/>
    <n v="569"/>
    <n v="0.11"/>
    <x v="16"/>
    <n v="0.69174757281553401"/>
    <n v="4"/>
    <x v="0"/>
    <x v="0"/>
    <x v="16"/>
    <n v="1"/>
  </r>
  <r>
    <d v="2022-08-03T00:00:00"/>
    <x v="1"/>
    <s v="Julian"/>
    <x v="0"/>
    <s v="02PZ0302"/>
    <x v="0"/>
    <n v="35.9"/>
    <n v="457"/>
    <n v="1"/>
    <n v="23"/>
    <n v="0"/>
    <n v="184975"/>
    <n v="48"/>
    <n v="75"/>
    <n v="48"/>
    <n v="600"/>
    <n v="1"/>
    <n v="105"/>
    <s v="PP"/>
    <n v="434"/>
    <n v="0.105"/>
    <x v="17"/>
    <n v="0.76166666666666671"/>
    <n v="4"/>
    <x v="0"/>
    <x v="0"/>
    <x v="17"/>
    <n v="1"/>
  </r>
  <r>
    <d v="2022-08-03T00:00:00"/>
    <x v="1"/>
    <s v="Julian"/>
    <x v="1"/>
    <s v="02PZ03405"/>
    <x v="6"/>
    <m/>
    <m/>
    <m/>
    <m/>
    <m/>
    <m/>
    <n v="0"/>
    <n v="0"/>
    <n v="0"/>
    <n v="0"/>
    <n v="0"/>
    <n v="0"/>
    <n v="0"/>
    <n v="0"/>
    <n v="0"/>
    <x v="1"/>
    <n v="0"/>
    <n v="4"/>
    <x v="0"/>
    <x v="0"/>
    <x v="1"/>
    <n v="0"/>
  </r>
  <r>
    <d v="2022-08-03T00:00:00"/>
    <x v="1"/>
    <s v="Julian"/>
    <x v="2"/>
    <s v="02PZ03405"/>
    <x v="6"/>
    <m/>
    <m/>
    <m/>
    <m/>
    <m/>
    <m/>
    <n v="0"/>
    <n v="0"/>
    <n v="0"/>
    <n v="0"/>
    <n v="0"/>
    <n v="0"/>
    <n v="0"/>
    <n v="0"/>
    <n v="0"/>
    <x v="1"/>
    <n v="0"/>
    <n v="4"/>
    <x v="0"/>
    <x v="0"/>
    <x v="1"/>
    <n v="0"/>
  </r>
  <r>
    <d v="2022-08-03T00:00:00"/>
    <x v="1"/>
    <s v="Julian"/>
    <x v="3"/>
    <s v="02PZ0319"/>
    <x v="3"/>
    <n v="41.8"/>
    <n v="589"/>
    <n v="1"/>
    <n v="31"/>
    <n v="0"/>
    <n v="184975"/>
    <n v="35"/>
    <n v="103"/>
    <n v="35"/>
    <n v="824"/>
    <n v="1"/>
    <n v="65"/>
    <s v="PP"/>
    <n v="558"/>
    <n v="6.5000000000000002E-2"/>
    <x v="18"/>
    <n v="0.71480582524271841"/>
    <n v="4"/>
    <x v="0"/>
    <x v="0"/>
    <x v="18"/>
    <n v="1"/>
  </r>
  <r>
    <d v="2022-08-03T00:00:00"/>
    <x v="1"/>
    <s v="Julian"/>
    <x v="4"/>
    <s v="02PZ0318"/>
    <x v="4"/>
    <n v="52.8"/>
    <n v="436"/>
    <n v="1"/>
    <n v="2"/>
    <n v="1"/>
    <n v="184975"/>
    <n v="35"/>
    <n v="103"/>
    <n v="35"/>
    <n v="824"/>
    <n v="1"/>
    <n v="110"/>
    <s v="PP"/>
    <n v="433"/>
    <n v="0.11"/>
    <x v="19"/>
    <n v="0.529126213592233"/>
    <n v="4"/>
    <x v="0"/>
    <x v="0"/>
    <x v="19"/>
    <n v="1"/>
  </r>
  <r>
    <d v="2022-08-03T00:00:00"/>
    <x v="2"/>
    <s v="Lautaro"/>
    <x v="0"/>
    <s v="02PZ03105"/>
    <x v="7"/>
    <n v="0"/>
    <n v="0"/>
    <n v="0"/>
    <n v="0"/>
    <n v="0"/>
    <n v="0"/>
    <n v="0"/>
    <n v="4"/>
    <n v="0"/>
    <n v="0"/>
    <n v="0"/>
    <n v="0"/>
    <n v="0"/>
    <n v="0"/>
    <n v="0"/>
    <x v="1"/>
    <n v="0"/>
    <n v="4"/>
    <x v="0"/>
    <x v="0"/>
    <x v="1"/>
    <n v="1"/>
  </r>
  <r>
    <d v="2022-08-03T00:00:00"/>
    <x v="2"/>
    <s v="Gaston"/>
    <x v="1"/>
    <s v="02PZ0316"/>
    <x v="2"/>
    <n v="31"/>
    <n v="985"/>
    <n v="1"/>
    <n v="0"/>
    <n v="0"/>
    <n v="184975"/>
    <n v="30"/>
    <n v="120"/>
    <n v="30"/>
    <n v="960"/>
    <n v="1"/>
    <n v="20"/>
    <s v="PP"/>
    <n v="985"/>
    <n v="0.02"/>
    <x v="20"/>
    <n v="1.0260416666666667"/>
    <n v="4"/>
    <x v="0"/>
    <x v="0"/>
    <x v="20"/>
    <n v="1"/>
  </r>
  <r>
    <d v="2022-08-03T00:00:00"/>
    <x v="2"/>
    <s v="Lucas"/>
    <x v="2"/>
    <s v="02PZ03403"/>
    <x v="8"/>
    <n v="0"/>
    <n v="0"/>
    <n v="0"/>
    <n v="0"/>
    <n v="0"/>
    <n v="0"/>
    <n v="0"/>
    <n v="0"/>
    <n v="0"/>
    <n v="0"/>
    <n v="0"/>
    <n v="0"/>
    <n v="0"/>
    <n v="0"/>
    <n v="0"/>
    <x v="1"/>
    <n v="0"/>
    <n v="4"/>
    <x v="0"/>
    <x v="0"/>
    <x v="1"/>
    <n v="1"/>
  </r>
  <r>
    <d v="2022-08-03T00:00:00"/>
    <x v="2"/>
    <s v="Lucas"/>
    <x v="3"/>
    <s v="02PZ0319"/>
    <x v="3"/>
    <n v="41.8"/>
    <n v="738"/>
    <n v="1"/>
    <m/>
    <m/>
    <n v="184975"/>
    <n v="35"/>
    <n v="103"/>
    <n v="35"/>
    <n v="824"/>
    <n v="1"/>
    <n v="65"/>
    <s v="PP"/>
    <n v="738"/>
    <n v="6.5000000000000002E-2"/>
    <x v="21"/>
    <n v="0.89563106796116509"/>
    <n v="4"/>
    <x v="0"/>
    <x v="0"/>
    <x v="21"/>
    <n v="1"/>
  </r>
  <r>
    <d v="2022-08-03T00:00:00"/>
    <x v="2"/>
    <s v="Lucas"/>
    <x v="4"/>
    <s v="02PZ0318"/>
    <x v="4"/>
    <n v="51.5"/>
    <n v="572"/>
    <n v="1"/>
    <m/>
    <m/>
    <n v="184975"/>
    <n v="35"/>
    <n v="103"/>
    <n v="35"/>
    <n v="824"/>
    <n v="1"/>
    <n v="110"/>
    <s v="PP"/>
    <n v="572"/>
    <n v="0.11"/>
    <x v="22"/>
    <n v="0.69417475728155342"/>
    <n v="4"/>
    <x v="0"/>
    <x v="0"/>
    <x v="22"/>
    <n v="1"/>
  </r>
  <r>
    <d v="2022-08-02T00:00:00"/>
    <x v="0"/>
    <s v="Matias"/>
    <x v="0"/>
    <s v="02PZ03200"/>
    <x v="1"/>
    <n v="0"/>
    <n v="0"/>
    <n v="0"/>
    <m/>
    <n v="0"/>
    <n v="0"/>
    <n v="0"/>
    <n v="0"/>
    <n v="0"/>
    <n v="0"/>
    <n v="0"/>
    <n v="0"/>
    <n v="0"/>
    <n v="0"/>
    <n v="0"/>
    <x v="1"/>
    <n v="0"/>
    <n v="3"/>
    <x v="0"/>
    <x v="0"/>
    <x v="1"/>
    <n v="1"/>
  </r>
  <r>
    <d v="2022-08-02T00:00:00"/>
    <x v="0"/>
    <s v="Matias"/>
    <x v="1"/>
    <s v="02PZ0303"/>
    <x v="9"/>
    <n v="31"/>
    <n v="727"/>
    <n v="0"/>
    <m/>
    <n v="0"/>
    <n v="184975"/>
    <n v="4.75"/>
    <n v="752"/>
    <n v="38"/>
    <n v="758"/>
    <n v="8"/>
    <n v="2.8"/>
    <s v="PP"/>
    <n v="0"/>
    <n v="0"/>
    <x v="23"/>
    <n v="0.95910290237467022"/>
    <n v="3"/>
    <x v="0"/>
    <x v="0"/>
    <x v="23"/>
    <n v="1"/>
  </r>
  <r>
    <d v="2022-08-02T00:00:00"/>
    <x v="0"/>
    <s v="Brian"/>
    <x v="2"/>
    <s v="02PZ0316"/>
    <x v="2"/>
    <n v="24.7"/>
    <n v="1050"/>
    <n v="1"/>
    <m/>
    <n v="1"/>
    <n v="184975"/>
    <n v="30"/>
    <n v="120"/>
    <n v="30"/>
    <n v="960"/>
    <n v="1"/>
    <n v="20"/>
    <s v="PP"/>
    <n v="1049"/>
    <n v="0.02"/>
    <x v="24"/>
    <n v="1.09375"/>
    <n v="3"/>
    <x v="0"/>
    <x v="0"/>
    <x v="24"/>
    <n v="1"/>
  </r>
  <r>
    <d v="2022-08-02T00:00:00"/>
    <x v="0"/>
    <s v="Brian"/>
    <x v="3"/>
    <s v="02PZ0319"/>
    <x v="3"/>
    <n v="41.8"/>
    <n v="560"/>
    <n v="1"/>
    <m/>
    <n v="1"/>
    <n v="184975"/>
    <n v="35"/>
    <n v="103"/>
    <n v="35"/>
    <n v="824"/>
    <n v="1"/>
    <n v="65"/>
    <s v="PP"/>
    <n v="559"/>
    <n v="6.5000000000000002E-2"/>
    <x v="25"/>
    <n v="0.67961165048543692"/>
    <n v="3"/>
    <x v="0"/>
    <x v="0"/>
    <x v="25"/>
    <n v="1"/>
  </r>
  <r>
    <d v="2022-08-02T00:00:00"/>
    <x v="0"/>
    <s v="Matias"/>
    <x v="4"/>
    <s v="02PZ0318"/>
    <x v="4"/>
    <n v="47"/>
    <n v="600"/>
    <n v="1"/>
    <m/>
    <n v="1"/>
    <n v="184975"/>
    <n v="35"/>
    <n v="103"/>
    <n v="35"/>
    <n v="824"/>
    <n v="1"/>
    <n v="110"/>
    <s v="PP"/>
    <n v="599"/>
    <n v="0.11"/>
    <x v="26"/>
    <n v="0.72815533980582525"/>
    <n v="3"/>
    <x v="0"/>
    <x v="0"/>
    <x v="26"/>
    <n v="1"/>
  </r>
  <r>
    <d v="2022-08-02T00:00:00"/>
    <x v="1"/>
    <s v="Julian"/>
    <x v="0"/>
    <s v="02PZ03405"/>
    <x v="6"/>
    <m/>
    <m/>
    <m/>
    <m/>
    <m/>
    <m/>
    <n v="0"/>
    <n v="0"/>
    <n v="0"/>
    <n v="0"/>
    <n v="0"/>
    <n v="0"/>
    <n v="0"/>
    <n v="0"/>
    <n v="0"/>
    <x v="1"/>
    <n v="0"/>
    <n v="3"/>
    <x v="0"/>
    <x v="0"/>
    <x v="1"/>
    <n v="0"/>
  </r>
  <r>
    <d v="2022-08-02T00:00:00"/>
    <x v="1"/>
    <s v="Julian"/>
    <x v="1"/>
    <s v="02PZ03405"/>
    <x v="6"/>
    <m/>
    <m/>
    <m/>
    <m/>
    <m/>
    <m/>
    <n v="0"/>
    <n v="0"/>
    <n v="0"/>
    <n v="0"/>
    <n v="0"/>
    <n v="0"/>
    <n v="0"/>
    <n v="0"/>
    <n v="0"/>
    <x v="1"/>
    <n v="0"/>
    <n v="3"/>
    <x v="0"/>
    <x v="0"/>
    <x v="1"/>
    <n v="0"/>
  </r>
  <r>
    <d v="2022-08-02T00:00:00"/>
    <x v="1"/>
    <s v="Julian"/>
    <x v="2"/>
    <s v="02PZ0316"/>
    <x v="2"/>
    <n v="29.7"/>
    <n v="1153"/>
    <n v="1"/>
    <n v="31"/>
    <n v="0"/>
    <n v="184975"/>
    <n v="30"/>
    <n v="120"/>
    <n v="30"/>
    <n v="960"/>
    <n v="1"/>
    <n v="20"/>
    <s v="PP"/>
    <n v="1122"/>
    <n v="0.02"/>
    <x v="27"/>
    <n v="1.2010416666666666"/>
    <n v="3"/>
    <x v="0"/>
    <x v="0"/>
    <x v="27"/>
    <n v="1"/>
  </r>
  <r>
    <d v="2022-08-02T00:00:00"/>
    <x v="1"/>
    <s v="Julian"/>
    <x v="3"/>
    <s v="02PZ03405"/>
    <x v="6"/>
    <m/>
    <m/>
    <m/>
    <m/>
    <m/>
    <m/>
    <n v="0"/>
    <n v="0"/>
    <n v="0"/>
    <n v="0"/>
    <n v="0"/>
    <n v="0"/>
    <n v="0"/>
    <n v="0"/>
    <n v="0"/>
    <x v="1"/>
    <n v="0"/>
    <n v="3"/>
    <x v="0"/>
    <x v="0"/>
    <x v="1"/>
    <n v="0"/>
  </r>
  <r>
    <d v="2022-08-02T00:00:00"/>
    <x v="1"/>
    <s v="Julian"/>
    <x v="4"/>
    <s v="02PZ0319"/>
    <x v="3"/>
    <n v="40"/>
    <n v="624"/>
    <n v="1"/>
    <n v="0"/>
    <n v="2"/>
    <n v="184975"/>
    <n v="35"/>
    <n v="103"/>
    <n v="35"/>
    <n v="824"/>
    <n v="1"/>
    <n v="65"/>
    <s v="PP"/>
    <n v="622"/>
    <n v="6.5000000000000002E-2"/>
    <x v="28"/>
    <n v="0.75728155339805825"/>
    <n v="3"/>
    <x v="0"/>
    <x v="0"/>
    <x v="28"/>
    <n v="1"/>
  </r>
  <r>
    <d v="2022-08-02T00:00:00"/>
    <x v="2"/>
    <s v="Lautaro"/>
    <x v="0"/>
    <s v="02PZ0328"/>
    <x v="10"/>
    <n v="41"/>
    <n v="122"/>
    <n v="2"/>
    <m/>
    <n v="35"/>
    <n v="184975"/>
    <n v="17"/>
    <n v="211"/>
    <n v="35"/>
    <n v="0"/>
    <n v="2"/>
    <n v="0"/>
    <s v="PP"/>
    <n v="209"/>
    <n v="0"/>
    <x v="29"/>
    <n v="0"/>
    <n v="3"/>
    <x v="0"/>
    <x v="0"/>
    <x v="29"/>
    <n v="1"/>
  </r>
  <r>
    <d v="2022-08-02T00:00:00"/>
    <x v="2"/>
    <s v="Gaston"/>
    <x v="1"/>
    <s v="02PZ0303"/>
    <x v="9"/>
    <n v="40"/>
    <n v="630"/>
    <n v="6"/>
    <m/>
    <m/>
    <n v="184975"/>
    <n v="4.75"/>
    <n v="752"/>
    <n v="38"/>
    <n v="758"/>
    <n v="8"/>
    <n v="2.8"/>
    <s v="PP"/>
    <n v="3780"/>
    <n v="1.6799999999999995E-2"/>
    <x v="30"/>
    <n v="0.83113456464379942"/>
    <n v="3"/>
    <x v="0"/>
    <x v="0"/>
    <x v="30"/>
    <n v="1"/>
  </r>
  <r>
    <d v="2022-08-02T00:00:00"/>
    <x v="2"/>
    <s v="Gaston"/>
    <x v="2"/>
    <s v="02PZ0316"/>
    <x v="2"/>
    <n v="30"/>
    <n v="885"/>
    <n v="1"/>
    <m/>
    <n v="10"/>
    <n v="184975"/>
    <n v="30"/>
    <n v="120"/>
    <n v="30"/>
    <n v="960"/>
    <n v="1"/>
    <n v="20"/>
    <s v="PP"/>
    <n v="875"/>
    <n v="0.02"/>
    <x v="31"/>
    <n v="0.921875"/>
    <n v="3"/>
    <x v="0"/>
    <x v="0"/>
    <x v="31"/>
    <n v="1"/>
  </r>
  <r>
    <d v="2022-08-02T00:00:00"/>
    <x v="2"/>
    <s v="Lucas"/>
    <x v="3"/>
    <s v="02PZ0319"/>
    <x v="3"/>
    <n v="39"/>
    <n v="650"/>
    <n v="1"/>
    <m/>
    <n v="20"/>
    <n v="184975"/>
    <n v="35"/>
    <n v="103"/>
    <n v="35"/>
    <n v="824"/>
    <n v="1"/>
    <n v="65"/>
    <s v="PP"/>
    <n v="630"/>
    <n v="6.5000000000000002E-2"/>
    <x v="32"/>
    <n v="0.78883495145631066"/>
    <n v="3"/>
    <x v="0"/>
    <x v="0"/>
    <x v="32"/>
    <n v="1"/>
  </r>
  <r>
    <d v="2022-08-02T00:00:00"/>
    <x v="2"/>
    <s v="Lucas"/>
    <x v="4"/>
    <s v="02PZ0318"/>
    <x v="4"/>
    <n v="40"/>
    <n v="150"/>
    <n v="1"/>
    <m/>
    <n v="20"/>
    <n v="184975"/>
    <n v="35"/>
    <n v="103"/>
    <n v="35"/>
    <n v="824"/>
    <n v="1"/>
    <n v="110"/>
    <s v="PP"/>
    <n v="130"/>
    <n v="0.11"/>
    <x v="33"/>
    <n v="0.18203883495145631"/>
    <n v="3"/>
    <x v="0"/>
    <x v="0"/>
    <x v="33"/>
    <n v="1"/>
  </r>
  <r>
    <d v="2022-08-02T00:00:00"/>
    <x v="2"/>
    <s v="**************"/>
    <x v="4"/>
    <s v="02PZ03105"/>
    <x v="7"/>
    <m/>
    <m/>
    <m/>
    <m/>
    <m/>
    <m/>
    <n v="0"/>
    <n v="4"/>
    <n v="0"/>
    <n v="0"/>
    <n v="0"/>
    <n v="0"/>
    <n v="0"/>
    <n v="0"/>
    <n v="0"/>
    <x v="1"/>
    <n v="0"/>
    <n v="3"/>
    <x v="0"/>
    <x v="0"/>
    <x v="1"/>
    <n v="1"/>
  </r>
  <r>
    <d v="2022-08-01T00:00:00"/>
    <x v="0"/>
    <s v="Matias"/>
    <x v="0"/>
    <s v="02PZ0329"/>
    <x v="11"/>
    <n v="45"/>
    <n v="180"/>
    <n v="2"/>
    <m/>
    <n v="0"/>
    <n v="184975"/>
    <n v="17"/>
    <n v="211"/>
    <n v="35"/>
    <n v="0"/>
    <n v="2"/>
    <n v="0"/>
    <s v="PP"/>
    <n v="360"/>
    <n v="0"/>
    <x v="34"/>
    <n v="0"/>
    <n v="2"/>
    <x v="0"/>
    <x v="0"/>
    <x v="34"/>
    <n v="1"/>
  </r>
  <r>
    <d v="2022-08-01T00:00:00"/>
    <x v="0"/>
    <s v="Matias"/>
    <x v="1"/>
    <s v="02PZ0303"/>
    <x v="9"/>
    <n v="33"/>
    <n v="832"/>
    <n v="6"/>
    <m/>
    <n v="0"/>
    <n v="184975"/>
    <n v="4.75"/>
    <n v="752"/>
    <n v="38"/>
    <n v="758"/>
    <n v="8"/>
    <n v="2.8"/>
    <s v="PP"/>
    <n v="4992"/>
    <n v="1.6799999999999995E-2"/>
    <x v="35"/>
    <n v="1.0976253298153034"/>
    <n v="2"/>
    <x v="0"/>
    <x v="0"/>
    <x v="35"/>
    <n v="1"/>
  </r>
  <r>
    <d v="2022-08-01T00:00:00"/>
    <x v="0"/>
    <s v="Brian"/>
    <x v="2"/>
    <s v="02PZ0316"/>
    <x v="2"/>
    <n v="40"/>
    <n v="780"/>
    <n v="1"/>
    <m/>
    <n v="5"/>
    <n v="184975"/>
    <n v="30"/>
    <n v="120"/>
    <n v="30"/>
    <n v="960"/>
    <n v="1"/>
    <n v="20"/>
    <s v="PP"/>
    <n v="775"/>
    <n v="0.02"/>
    <x v="9"/>
    <n v="0.8125"/>
    <n v="2"/>
    <x v="0"/>
    <x v="0"/>
    <x v="9"/>
    <n v="1"/>
  </r>
  <r>
    <d v="2022-08-01T00:00:00"/>
    <x v="0"/>
    <s v="Brian"/>
    <x v="3"/>
    <s v="02PZ0319"/>
    <x v="3"/>
    <n v="40"/>
    <n v="700"/>
    <n v="1"/>
    <m/>
    <n v="5"/>
    <n v="184975"/>
    <n v="35"/>
    <n v="103"/>
    <n v="35"/>
    <n v="824"/>
    <n v="1"/>
    <n v="65"/>
    <s v="PP"/>
    <n v="695"/>
    <n v="6.5000000000000002E-2"/>
    <x v="36"/>
    <n v="0.84951456310679607"/>
    <n v="2"/>
    <x v="0"/>
    <x v="0"/>
    <x v="36"/>
    <n v="1"/>
  </r>
  <r>
    <d v="2022-08-01T00:00:00"/>
    <x v="0"/>
    <s v="Matias"/>
    <x v="4"/>
    <s v="02PZ0305"/>
    <x v="12"/>
    <n v="25"/>
    <n v="1068"/>
    <n v="7"/>
    <m/>
    <m/>
    <n v="184975"/>
    <n v="5"/>
    <n v="720"/>
    <n v="40"/>
    <n v="724"/>
    <n v="8"/>
    <n v="6.2"/>
    <s v="PP"/>
    <n v="7476"/>
    <n v="4.3400000000000001E-2"/>
    <x v="37"/>
    <n v="1.4751381215469612"/>
    <n v="2"/>
    <x v="0"/>
    <x v="0"/>
    <x v="37"/>
    <n v="1"/>
  </r>
  <r>
    <d v="2022-08-01T00:00:00"/>
    <x v="1"/>
    <s v="Julian"/>
    <x v="4"/>
    <s v="02PZ0305"/>
    <x v="12"/>
    <n v="25.9"/>
    <n v="1088"/>
    <n v="1"/>
    <n v="0"/>
    <n v="0"/>
    <n v="184975"/>
    <n v="5"/>
    <n v="720"/>
    <n v="40"/>
    <n v="724"/>
    <n v="8"/>
    <n v="6.2"/>
    <s v="PP"/>
    <n v="1088"/>
    <n v="6.1999999999999998E-3"/>
    <x v="38"/>
    <n v="1.5027624309392265"/>
    <n v="2"/>
    <x v="0"/>
    <x v="0"/>
    <x v="38"/>
    <n v="1"/>
  </r>
  <r>
    <d v="2022-08-01T00:00:00"/>
    <x v="1"/>
    <s v="Julian"/>
    <x v="3"/>
    <s v="02PZ0319"/>
    <x v="3"/>
    <n v="34.200000000000003"/>
    <n v="720"/>
    <n v="1"/>
    <n v="6"/>
    <n v="1"/>
    <n v="184975"/>
    <n v="35"/>
    <n v="103"/>
    <n v="35"/>
    <n v="824"/>
    <n v="1"/>
    <n v="65"/>
    <s v="PP"/>
    <n v="713"/>
    <n v="6.5000000000000002E-2"/>
    <x v="39"/>
    <n v="0.87378640776699024"/>
    <n v="2"/>
    <x v="0"/>
    <x v="0"/>
    <x v="39"/>
    <n v="1"/>
  </r>
  <r>
    <d v="2022-08-01T00:00:00"/>
    <x v="1"/>
    <s v="Gustavo"/>
    <x v="1"/>
    <s v="02PZ0303"/>
    <x v="9"/>
    <n v="29.5"/>
    <n v="880"/>
    <n v="6"/>
    <n v="0"/>
    <n v="0"/>
    <n v="184975"/>
    <n v="4.75"/>
    <n v="752"/>
    <n v="38"/>
    <n v="758"/>
    <n v="8"/>
    <n v="2.8"/>
    <s v="PP"/>
    <n v="5280"/>
    <n v="1.6799999999999995E-2"/>
    <x v="40"/>
    <n v="1.1609498680738786"/>
    <n v="2"/>
    <x v="0"/>
    <x v="0"/>
    <x v="40"/>
    <n v="1"/>
  </r>
  <r>
    <d v="2022-08-01T00:00:00"/>
    <x v="1"/>
    <s v="Gustavo"/>
    <x v="2"/>
    <s v="02PZ0316"/>
    <x v="2"/>
    <n v="32.700000000000003"/>
    <n v="790"/>
    <n v="1"/>
    <n v="0"/>
    <n v="16"/>
    <n v="184975"/>
    <n v="30"/>
    <n v="120"/>
    <n v="30"/>
    <n v="960"/>
    <n v="1"/>
    <n v="20"/>
    <s v="PP"/>
    <n v="774"/>
    <n v="0.02"/>
    <x v="41"/>
    <n v="0.82291666666666663"/>
    <n v="2"/>
    <x v="0"/>
    <x v="0"/>
    <x v="41"/>
    <n v="1"/>
  </r>
  <r>
    <d v="2022-08-01T00:00:00"/>
    <x v="1"/>
    <s v="Gustavo"/>
    <x v="0"/>
    <s v="02PZ03232"/>
    <x v="13"/>
    <n v="45.3"/>
    <n v="343"/>
    <n v="2"/>
    <n v="0"/>
    <n v="25"/>
    <n v="184975"/>
    <n v="0"/>
    <n v="0"/>
    <n v="0"/>
    <n v="0"/>
    <n v="0"/>
    <n v="0"/>
    <n v="0"/>
    <n v="661"/>
    <n v="0"/>
    <x v="42"/>
    <n v="0"/>
    <n v="2"/>
    <x v="0"/>
    <x v="0"/>
    <x v="42"/>
    <n v="1"/>
  </r>
  <r>
    <d v="2022-08-01T00:00:00"/>
    <x v="2"/>
    <s v="**************"/>
    <x v="0"/>
    <s v="02PZ03105"/>
    <x v="7"/>
    <m/>
    <m/>
    <m/>
    <m/>
    <m/>
    <m/>
    <n v="0"/>
    <n v="4"/>
    <n v="0"/>
    <n v="0"/>
    <n v="0"/>
    <n v="0"/>
    <n v="0"/>
    <n v="0"/>
    <n v="0"/>
    <x v="1"/>
    <n v="0"/>
    <n v="2"/>
    <x v="0"/>
    <x v="0"/>
    <x v="1"/>
    <n v="1"/>
  </r>
  <r>
    <d v="2022-08-01T00:00:00"/>
    <x v="2"/>
    <s v="Lautaro"/>
    <x v="1"/>
    <s v="02PZ0303"/>
    <x v="9"/>
    <n v="30"/>
    <n v="900"/>
    <n v="6"/>
    <m/>
    <m/>
    <n v="184975"/>
    <n v="4.75"/>
    <n v="752"/>
    <n v="38"/>
    <n v="758"/>
    <n v="8"/>
    <n v="2.8"/>
    <s v="PP"/>
    <n v="5400"/>
    <n v="1.6799999999999995E-2"/>
    <x v="43"/>
    <n v="1.187335092348285"/>
    <n v="2"/>
    <x v="0"/>
    <x v="0"/>
    <x v="43"/>
    <n v="1"/>
  </r>
  <r>
    <d v="2022-08-01T00:00:00"/>
    <x v="2"/>
    <s v="Gaston"/>
    <x v="2"/>
    <s v="02PZ0316"/>
    <x v="2"/>
    <n v="29"/>
    <n v="800"/>
    <n v="1"/>
    <m/>
    <m/>
    <n v="184975"/>
    <n v="30"/>
    <n v="120"/>
    <n v="30"/>
    <n v="960"/>
    <n v="1"/>
    <n v="20"/>
    <s v="PP"/>
    <n v="800"/>
    <n v="0.02"/>
    <x v="44"/>
    <n v="0.83333333333333337"/>
    <n v="2"/>
    <x v="0"/>
    <x v="0"/>
    <x v="44"/>
    <n v="1"/>
  </r>
  <r>
    <d v="2022-08-01T00:00:00"/>
    <x v="2"/>
    <s v="Lautaro"/>
    <x v="3"/>
    <s v="02PZ0319"/>
    <x v="3"/>
    <n v="39"/>
    <n v="490"/>
    <n v="1"/>
    <m/>
    <n v="15"/>
    <n v="184975"/>
    <n v="35"/>
    <n v="103"/>
    <n v="35"/>
    <n v="824"/>
    <n v="1"/>
    <n v="65"/>
    <s v="PP"/>
    <n v="475"/>
    <n v="6.5000000000000002E-2"/>
    <x v="45"/>
    <n v="0.59466019417475724"/>
    <n v="2"/>
    <x v="0"/>
    <x v="0"/>
    <x v="45"/>
    <n v="1"/>
  </r>
  <r>
    <d v="2022-08-01T00:00:00"/>
    <x v="2"/>
    <s v="Lucas"/>
    <x v="4"/>
    <s v="02PZ0317"/>
    <x v="14"/>
    <n v="26"/>
    <n v="900"/>
    <n v="7"/>
    <m/>
    <m/>
    <n v="184975"/>
    <n v="5"/>
    <n v="720"/>
    <n v="40"/>
    <n v="724"/>
    <n v="8"/>
    <n v="6.2"/>
    <s v="PP"/>
    <n v="6300"/>
    <n v="4.3400000000000001E-2"/>
    <x v="46"/>
    <n v="1.2430939226519337"/>
    <n v="2"/>
    <x v="0"/>
    <x v="0"/>
    <x v="46"/>
    <n v="1"/>
  </r>
  <r>
    <d v="2022-07-29T00:00:00"/>
    <x v="0"/>
    <s v="Matias"/>
    <x v="0"/>
    <s v="02PZ03403"/>
    <x v="8"/>
    <n v="35.9"/>
    <n v="686"/>
    <n v="1"/>
    <m/>
    <m/>
    <n v="184975"/>
    <n v="0"/>
    <n v="0"/>
    <n v="0"/>
    <n v="0"/>
    <n v="0"/>
    <n v="0"/>
    <n v="0"/>
    <n v="686"/>
    <n v="0"/>
    <x v="47"/>
    <n v="0"/>
    <n v="6"/>
    <x v="1"/>
    <x v="1"/>
    <x v="47"/>
    <n v="1"/>
  </r>
  <r>
    <d v="2022-07-29T00:00:00"/>
    <x v="0"/>
    <s v="Matias"/>
    <x v="1"/>
    <s v="02PZ0303"/>
    <x v="9"/>
    <n v="36"/>
    <n v="686"/>
    <n v="1"/>
    <m/>
    <m/>
    <n v="184975"/>
    <n v="4.75"/>
    <n v="752"/>
    <n v="38"/>
    <n v="758"/>
    <n v="8"/>
    <n v="2.8"/>
    <s v="PP"/>
    <n v="686"/>
    <n v="2.8E-3"/>
    <x v="48"/>
    <n v="0.9050131926121372"/>
    <n v="6"/>
    <x v="1"/>
    <x v="1"/>
    <x v="48"/>
    <n v="1"/>
  </r>
  <r>
    <d v="2022-07-29T00:00:00"/>
    <x v="0"/>
    <s v="Brian"/>
    <x v="2"/>
    <s v="02PZ0316"/>
    <x v="2"/>
    <n v="25"/>
    <n v="1100"/>
    <n v="1"/>
    <m/>
    <n v="12"/>
    <n v="184975"/>
    <n v="30"/>
    <n v="120"/>
    <n v="30"/>
    <n v="960"/>
    <n v="1"/>
    <n v="20"/>
    <s v="PP"/>
    <n v="1088"/>
    <n v="0.02"/>
    <x v="49"/>
    <n v="1.1458333333333333"/>
    <n v="6"/>
    <x v="1"/>
    <x v="1"/>
    <x v="49"/>
    <n v="1"/>
  </r>
  <r>
    <d v="2022-07-29T00:00:00"/>
    <x v="0"/>
    <s v="Brian"/>
    <x v="3"/>
    <s v="02PZ0319"/>
    <x v="3"/>
    <n v="41.4"/>
    <n v="610"/>
    <n v="1"/>
    <m/>
    <n v="8"/>
    <n v="184975"/>
    <n v="35"/>
    <n v="103"/>
    <n v="35"/>
    <n v="824"/>
    <n v="1"/>
    <n v="65"/>
    <s v="PP"/>
    <n v="602"/>
    <n v="6.5000000000000002E-2"/>
    <x v="50"/>
    <n v="0.74029126213592233"/>
    <n v="6"/>
    <x v="1"/>
    <x v="1"/>
    <x v="50"/>
    <n v="1"/>
  </r>
  <r>
    <d v="2022-07-29T00:00:00"/>
    <x v="0"/>
    <s v="Matias"/>
    <x v="4"/>
    <s v="02PZ0305"/>
    <x v="12"/>
    <n v="29"/>
    <n v="941"/>
    <n v="1"/>
    <m/>
    <m/>
    <n v="184975"/>
    <n v="5"/>
    <n v="720"/>
    <n v="40"/>
    <n v="724"/>
    <n v="8"/>
    <n v="6.2"/>
    <s v="PP"/>
    <n v="941"/>
    <n v="6.1999999999999998E-3"/>
    <x v="51"/>
    <n v="1.2997237569060773"/>
    <n v="6"/>
    <x v="1"/>
    <x v="1"/>
    <x v="51"/>
    <n v="1"/>
  </r>
  <r>
    <d v="2022-07-29T00:00:00"/>
    <x v="1"/>
    <s v="Gustavo"/>
    <x v="0"/>
    <s v="02PZ03200"/>
    <x v="1"/>
    <m/>
    <m/>
    <m/>
    <m/>
    <m/>
    <m/>
    <n v="0"/>
    <n v="0"/>
    <n v="0"/>
    <n v="0"/>
    <n v="0"/>
    <n v="0"/>
    <n v="0"/>
    <n v="0"/>
    <n v="0"/>
    <x v="1"/>
    <n v="0"/>
    <n v="6"/>
    <x v="1"/>
    <x v="1"/>
    <x v="1"/>
    <n v="1"/>
  </r>
  <r>
    <d v="2022-07-29T00:00:00"/>
    <x v="1"/>
    <s v="Gustavo"/>
    <x v="1"/>
    <s v="02PZ0323"/>
    <x v="15"/>
    <n v="38"/>
    <n v="208"/>
    <n v="6"/>
    <m/>
    <m/>
    <n v="184975"/>
    <n v="2.25"/>
    <n v="1596"/>
    <n v="27"/>
    <n v="1083"/>
    <n v="12"/>
    <n v="2.8"/>
    <s v="PP"/>
    <n v="1248"/>
    <n v="1.6799999999999995E-2"/>
    <x v="52"/>
    <n v="0.19205909510618652"/>
    <n v="6"/>
    <x v="1"/>
    <x v="1"/>
    <x v="52"/>
    <n v="1"/>
  </r>
  <r>
    <d v="2022-07-29T00:00:00"/>
    <x v="1"/>
    <s v="Cora"/>
    <x v="2"/>
    <s v="02PZ0316"/>
    <x v="2"/>
    <n v="28"/>
    <n v="179"/>
    <n v="1"/>
    <m/>
    <n v="15"/>
    <n v="184975"/>
    <n v="30"/>
    <n v="120"/>
    <n v="30"/>
    <n v="960"/>
    <n v="1"/>
    <n v="20"/>
    <s v="PP"/>
    <n v="164"/>
    <n v="0.02"/>
    <x v="53"/>
    <n v="0.18645833333333334"/>
    <n v="6"/>
    <x v="1"/>
    <x v="1"/>
    <x v="53"/>
    <n v="1"/>
  </r>
  <r>
    <d v="2022-07-29T00:00:00"/>
    <x v="1"/>
    <s v="Gustavo"/>
    <x v="3"/>
    <s v="02PZ03200"/>
    <x v="1"/>
    <m/>
    <m/>
    <m/>
    <m/>
    <m/>
    <m/>
    <n v="0"/>
    <n v="0"/>
    <n v="0"/>
    <n v="0"/>
    <n v="0"/>
    <n v="0"/>
    <n v="0"/>
    <n v="0"/>
    <n v="0"/>
    <x v="1"/>
    <n v="0"/>
    <n v="6"/>
    <x v="1"/>
    <x v="1"/>
    <x v="1"/>
    <n v="1"/>
  </r>
  <r>
    <d v="2022-07-29T00:00:00"/>
    <x v="1"/>
    <s v="Gaston"/>
    <x v="4"/>
    <s v="02PZ0305"/>
    <x v="12"/>
    <n v="36"/>
    <n v="154"/>
    <n v="7"/>
    <m/>
    <m/>
    <n v="184975"/>
    <n v="5"/>
    <n v="720"/>
    <n v="40"/>
    <n v="724"/>
    <n v="8"/>
    <n v="6.2"/>
    <s v="PP"/>
    <n v="1078"/>
    <n v="4.3400000000000001E-2"/>
    <x v="54"/>
    <n v="0.212707182320442"/>
    <n v="6"/>
    <x v="1"/>
    <x v="1"/>
    <x v="54"/>
    <n v="1"/>
  </r>
  <r>
    <d v="2022-07-29T00:00:00"/>
    <x v="2"/>
    <s v="Lautaro"/>
    <x v="0"/>
    <s v="02PZ03200"/>
    <x v="16"/>
    <m/>
    <m/>
    <m/>
    <m/>
    <m/>
    <m/>
    <n v="0"/>
    <n v="0"/>
    <n v="0"/>
    <n v="0"/>
    <n v="0"/>
    <n v="0"/>
    <n v="0"/>
    <n v="0"/>
    <n v="0"/>
    <x v="1"/>
    <n v="0"/>
    <n v="6"/>
    <x v="1"/>
    <x v="1"/>
    <x v="1"/>
    <n v="1"/>
  </r>
  <r>
    <d v="2022-07-29T00:00:00"/>
    <x v="2"/>
    <s v="Gustavo"/>
    <x v="1"/>
    <s v="02PZ0323"/>
    <x v="15"/>
    <n v="37"/>
    <n v="768"/>
    <n v="6"/>
    <m/>
    <m/>
    <n v="184975"/>
    <n v="2.25"/>
    <n v="1596"/>
    <n v="27"/>
    <n v="1083"/>
    <n v="12"/>
    <n v="2.8"/>
    <s v="PP"/>
    <n v="4608"/>
    <n v="1.6799999999999995E-2"/>
    <x v="55"/>
    <n v="0.70914127423822715"/>
    <n v="6"/>
    <x v="1"/>
    <x v="1"/>
    <x v="55"/>
    <n v="1"/>
  </r>
  <r>
    <d v="2022-07-29T00:00:00"/>
    <x v="2"/>
    <s v="Gaston"/>
    <x v="2"/>
    <s v="02PZ0316"/>
    <x v="2"/>
    <n v="28"/>
    <n v="1100"/>
    <n v="1"/>
    <m/>
    <n v="30"/>
    <n v="184975"/>
    <n v="30"/>
    <n v="120"/>
    <n v="30"/>
    <n v="960"/>
    <n v="1"/>
    <n v="20"/>
    <s v="PP"/>
    <n v="1070"/>
    <n v="0.02"/>
    <x v="56"/>
    <n v="1.1458333333333333"/>
    <n v="6"/>
    <x v="1"/>
    <x v="1"/>
    <x v="56"/>
    <n v="1"/>
  </r>
  <r>
    <d v="2022-07-29T00:00:00"/>
    <x v="2"/>
    <s v="Gustavo"/>
    <x v="3"/>
    <s v="02PZ0319"/>
    <x v="3"/>
    <n v="41"/>
    <n v="426"/>
    <n v="1"/>
    <m/>
    <n v="10"/>
    <n v="184975"/>
    <n v="35"/>
    <n v="103"/>
    <n v="35"/>
    <n v="824"/>
    <n v="1"/>
    <n v="65"/>
    <s v="PP"/>
    <n v="416"/>
    <n v="6.5000000000000002E-2"/>
    <x v="57"/>
    <n v="0.51699029126213591"/>
    <n v="6"/>
    <x v="1"/>
    <x v="1"/>
    <x v="57"/>
    <n v="1"/>
  </r>
  <r>
    <d v="2022-07-29T00:00:00"/>
    <x v="2"/>
    <s v="Gaston"/>
    <x v="4"/>
    <s v="02PZ0305"/>
    <x v="12"/>
    <n v="36"/>
    <n v="770"/>
    <n v="7"/>
    <m/>
    <m/>
    <n v="184975"/>
    <n v="5"/>
    <n v="720"/>
    <n v="40"/>
    <n v="724"/>
    <n v="8"/>
    <n v="6.2"/>
    <s v="PP"/>
    <n v="5390"/>
    <n v="4.3400000000000001E-2"/>
    <x v="58"/>
    <n v="1.0635359116022098"/>
    <n v="6"/>
    <x v="1"/>
    <x v="1"/>
    <x v="58"/>
    <n v="1"/>
  </r>
  <r>
    <d v="2022-07-28T00:00:00"/>
    <x v="0"/>
    <s v="Matias"/>
    <x v="0"/>
    <s v="02PZ03200"/>
    <x v="1"/>
    <n v="0"/>
    <n v="0"/>
    <n v="0"/>
    <m/>
    <n v="0"/>
    <n v="0"/>
    <n v="0"/>
    <n v="0"/>
    <n v="0"/>
    <n v="0"/>
    <n v="0"/>
    <n v="0"/>
    <n v="0"/>
    <n v="0"/>
    <n v="0"/>
    <x v="1"/>
    <n v="0"/>
    <n v="5"/>
    <x v="1"/>
    <x v="1"/>
    <x v="1"/>
    <n v="1"/>
  </r>
  <r>
    <d v="2022-07-28T00:00:00"/>
    <x v="0"/>
    <s v="Matias"/>
    <x v="1"/>
    <s v="02PZ0322"/>
    <x v="17"/>
    <n v="38"/>
    <n v="1043"/>
    <n v="6"/>
    <m/>
    <n v="0"/>
    <n v="184975"/>
    <n v="4.75"/>
    <n v="752"/>
    <n v="38"/>
    <n v="758"/>
    <n v="8"/>
    <n v="2.8"/>
    <s v="PP"/>
    <n v="6258"/>
    <n v="1.6799999999999995E-2"/>
    <x v="59"/>
    <n v="1.3759894459102902"/>
    <n v="5"/>
    <x v="1"/>
    <x v="1"/>
    <x v="59"/>
    <n v="1"/>
  </r>
  <r>
    <d v="2022-07-28T00:00:00"/>
    <x v="0"/>
    <s v="Brian"/>
    <x v="2"/>
    <s v="02PZ0316"/>
    <x v="2"/>
    <n v="27"/>
    <n v="1032"/>
    <n v="1"/>
    <m/>
    <n v="20"/>
    <n v="184975"/>
    <n v="30"/>
    <n v="120"/>
    <n v="30"/>
    <n v="960"/>
    <n v="1"/>
    <n v="20"/>
    <s v="PP"/>
    <n v="1012"/>
    <n v="0.02"/>
    <x v="60"/>
    <n v="1.075"/>
    <n v="5"/>
    <x v="1"/>
    <x v="1"/>
    <x v="60"/>
    <n v="1"/>
  </r>
  <r>
    <d v="2022-07-28T00:00:00"/>
    <x v="0"/>
    <s v="Brian"/>
    <x v="3"/>
    <s v="02PZ0319"/>
    <x v="3"/>
    <n v="41"/>
    <n v="630"/>
    <n v="1"/>
    <m/>
    <n v="10"/>
    <n v="184975"/>
    <n v="35"/>
    <n v="103"/>
    <n v="35"/>
    <n v="824"/>
    <n v="1"/>
    <n v="65"/>
    <s v="PP"/>
    <n v="620"/>
    <n v="6.5000000000000002E-2"/>
    <x v="61"/>
    <n v="0.7645631067961165"/>
    <n v="5"/>
    <x v="1"/>
    <x v="1"/>
    <x v="61"/>
    <n v="1"/>
  </r>
  <r>
    <d v="2022-07-28T00:00:00"/>
    <x v="0"/>
    <s v="Matias"/>
    <x v="4"/>
    <s v="02PZ0305"/>
    <x v="12"/>
    <n v="28"/>
    <n v="820"/>
    <n v="7"/>
    <m/>
    <m/>
    <n v="184975"/>
    <n v="5"/>
    <n v="720"/>
    <n v="40"/>
    <n v="724"/>
    <n v="8"/>
    <n v="6.2"/>
    <s v="PP"/>
    <n v="5740"/>
    <n v="4.3400000000000001E-2"/>
    <x v="62"/>
    <n v="1.132596685082873"/>
    <n v="5"/>
    <x v="1"/>
    <x v="1"/>
    <x v="62"/>
    <n v="1"/>
  </r>
  <r>
    <d v="2022-07-28T00:00:00"/>
    <x v="1"/>
    <s v="Gustavo"/>
    <x v="0"/>
    <s v="02PZ03200"/>
    <x v="1"/>
    <m/>
    <m/>
    <m/>
    <m/>
    <m/>
    <m/>
    <n v="0"/>
    <n v="0"/>
    <n v="0"/>
    <n v="0"/>
    <n v="0"/>
    <n v="0"/>
    <n v="0"/>
    <n v="0"/>
    <n v="0"/>
    <x v="1"/>
    <n v="0"/>
    <n v="5"/>
    <x v="1"/>
    <x v="1"/>
    <x v="1"/>
    <n v="1"/>
  </r>
  <r>
    <d v="2022-07-28T00:00:00"/>
    <x v="1"/>
    <s v="Gustavo"/>
    <x v="1"/>
    <s v="02PZ0322"/>
    <x v="17"/>
    <n v="37"/>
    <n v="371"/>
    <n v="6"/>
    <m/>
    <m/>
    <n v="184975"/>
    <n v="4.75"/>
    <n v="752"/>
    <n v="38"/>
    <n v="758"/>
    <n v="8"/>
    <n v="2.8"/>
    <s v="PP"/>
    <n v="2226"/>
    <n v="1.6799999999999995E-2"/>
    <x v="63"/>
    <n v="0.48944591029023748"/>
    <n v="5"/>
    <x v="1"/>
    <x v="1"/>
    <x v="63"/>
    <n v="1"/>
  </r>
  <r>
    <d v="2022-07-28T00:00:00"/>
    <x v="1"/>
    <s v="Gaston"/>
    <x v="2"/>
    <s v="02PZ0316"/>
    <x v="2"/>
    <n v="29.5"/>
    <n v="1166"/>
    <n v="1"/>
    <m/>
    <n v="17"/>
    <n v="184975"/>
    <n v="30"/>
    <n v="120"/>
    <n v="30"/>
    <n v="960"/>
    <n v="1"/>
    <n v="20"/>
    <s v="PP"/>
    <n v="1149"/>
    <n v="0.02"/>
    <x v="64"/>
    <n v="1.2145833333333333"/>
    <n v="5"/>
    <x v="1"/>
    <x v="1"/>
    <x v="64"/>
    <n v="1"/>
  </r>
  <r>
    <d v="2022-07-28T00:00:00"/>
    <x v="1"/>
    <s v="Gustavo"/>
    <x v="3"/>
    <s v="02PZ0319"/>
    <x v="3"/>
    <n v="58.5"/>
    <n v="500"/>
    <n v="1"/>
    <m/>
    <n v="10"/>
    <n v="184975"/>
    <n v="35"/>
    <n v="103"/>
    <n v="35"/>
    <n v="824"/>
    <n v="1"/>
    <n v="65"/>
    <s v="PP"/>
    <n v="490"/>
    <n v="6.5000000000000002E-2"/>
    <x v="65"/>
    <n v="0.60679611650485432"/>
    <n v="5"/>
    <x v="1"/>
    <x v="1"/>
    <x v="65"/>
    <n v="1"/>
  </r>
  <r>
    <d v="2022-07-28T00:00:00"/>
    <x v="1"/>
    <s v="Gustavo"/>
    <x v="4"/>
    <s v="02PZ0305"/>
    <x v="12"/>
    <n v="36"/>
    <n v="550"/>
    <n v="7"/>
    <m/>
    <m/>
    <n v="184975"/>
    <n v="5"/>
    <n v="720"/>
    <n v="40"/>
    <n v="724"/>
    <n v="8"/>
    <n v="6.2"/>
    <s v="PP"/>
    <n v="3850"/>
    <n v="4.3400000000000001E-2"/>
    <x v="66"/>
    <n v="0.75966850828729282"/>
    <n v="5"/>
    <x v="1"/>
    <x v="1"/>
    <x v="66"/>
    <n v="1"/>
  </r>
  <r>
    <d v="2022-07-28T00:00:00"/>
    <x v="2"/>
    <s v="Gaston"/>
    <x v="0"/>
    <s v="02PZ0331"/>
    <x v="18"/>
    <n v="33"/>
    <n v="594"/>
    <n v="3"/>
    <m/>
    <m/>
    <n v="184975"/>
    <n v="9"/>
    <n v="400"/>
    <n v="35"/>
    <n v="0"/>
    <n v="4"/>
    <n v="0"/>
    <s v="PP"/>
    <n v="1782"/>
    <n v="0"/>
    <x v="67"/>
    <n v="0"/>
    <n v="5"/>
    <x v="1"/>
    <x v="1"/>
    <x v="67"/>
    <n v="1"/>
  </r>
  <r>
    <d v="2022-07-28T00:00:00"/>
    <x v="2"/>
    <s v="Gustavo"/>
    <x v="1"/>
    <s v="02PZ03213"/>
    <x v="19"/>
    <m/>
    <m/>
    <m/>
    <m/>
    <m/>
    <m/>
    <n v="0"/>
    <n v="0"/>
    <n v="0"/>
    <n v="0"/>
    <n v="0"/>
    <n v="0"/>
    <n v="0"/>
    <n v="0"/>
    <n v="0"/>
    <x v="1"/>
    <n v="0"/>
    <n v="5"/>
    <x v="1"/>
    <x v="1"/>
    <x v="1"/>
    <n v="1"/>
  </r>
  <r>
    <d v="2022-07-28T00:00:00"/>
    <x v="2"/>
    <s v="Gaston"/>
    <x v="2"/>
    <s v="02PZ0316"/>
    <x v="2"/>
    <n v="29"/>
    <n v="1020"/>
    <n v="1"/>
    <m/>
    <n v="50"/>
    <n v="184975"/>
    <n v="30"/>
    <n v="120"/>
    <n v="30"/>
    <n v="960"/>
    <n v="1"/>
    <n v="20"/>
    <s v="PP"/>
    <n v="970"/>
    <n v="0.02"/>
    <x v="68"/>
    <n v="1.0625"/>
    <n v="5"/>
    <x v="1"/>
    <x v="1"/>
    <x v="68"/>
    <n v="1"/>
  </r>
  <r>
    <d v="2022-07-28T00:00:00"/>
    <x v="2"/>
    <s v="Gustavo"/>
    <x v="3"/>
    <s v="02PZ03200"/>
    <x v="1"/>
    <m/>
    <m/>
    <m/>
    <m/>
    <m/>
    <m/>
    <n v="0"/>
    <n v="0"/>
    <n v="0"/>
    <n v="0"/>
    <n v="0"/>
    <n v="0"/>
    <n v="0"/>
    <n v="0"/>
    <n v="0"/>
    <x v="1"/>
    <n v="0"/>
    <n v="5"/>
    <x v="1"/>
    <x v="1"/>
    <x v="1"/>
    <n v="1"/>
  </r>
  <r>
    <d v="2022-07-28T00:00:00"/>
    <x v="2"/>
    <s v="Gaston"/>
    <x v="4"/>
    <s v="02PZ0305"/>
    <x v="12"/>
    <n v="36"/>
    <n v="884"/>
    <n v="7"/>
    <m/>
    <m/>
    <n v="184975"/>
    <n v="5"/>
    <n v="720"/>
    <n v="40"/>
    <n v="724"/>
    <n v="8"/>
    <n v="6.2"/>
    <s v="PP"/>
    <n v="6188"/>
    <n v="4.3400000000000001E-2"/>
    <x v="69"/>
    <n v="1.2209944751381216"/>
    <n v="5"/>
    <x v="1"/>
    <x v="1"/>
    <x v="69"/>
    <n v="1"/>
  </r>
  <r>
    <d v="2022-07-27T00:00:00"/>
    <x v="0"/>
    <s v="Matias"/>
    <x v="0"/>
    <s v="02PZ0331"/>
    <x v="18"/>
    <n v="37"/>
    <n v="703"/>
    <n v="3"/>
    <m/>
    <n v="0"/>
    <n v="184975"/>
    <n v="9"/>
    <n v="400"/>
    <n v="35"/>
    <n v="0"/>
    <n v="4"/>
    <n v="0"/>
    <s v="PP"/>
    <n v="2109"/>
    <n v="0"/>
    <x v="70"/>
    <n v="0"/>
    <n v="4"/>
    <x v="1"/>
    <x v="1"/>
    <x v="70"/>
    <n v="1"/>
  </r>
  <r>
    <d v="2022-07-27T00:00:00"/>
    <x v="0"/>
    <s v="Matias"/>
    <x v="1"/>
    <s v="02PZ0322"/>
    <x v="17"/>
    <n v="41"/>
    <n v="270"/>
    <n v="6"/>
    <m/>
    <n v="0"/>
    <n v="184975"/>
    <n v="4.75"/>
    <n v="752"/>
    <n v="38"/>
    <n v="758"/>
    <n v="8"/>
    <n v="2.8"/>
    <s v="PP"/>
    <n v="1620"/>
    <n v="1.6799999999999995E-2"/>
    <x v="71"/>
    <n v="0.35620052770448551"/>
    <n v="4"/>
    <x v="1"/>
    <x v="1"/>
    <x v="71"/>
    <n v="1"/>
  </r>
  <r>
    <d v="2022-07-27T00:00:00"/>
    <x v="0"/>
    <s v="Matias"/>
    <x v="1"/>
    <s v="02PZ03105"/>
    <x v="7"/>
    <n v="0"/>
    <n v="0"/>
    <n v="0"/>
    <m/>
    <n v="0"/>
    <n v="184975"/>
    <n v="0"/>
    <n v="4"/>
    <n v="0"/>
    <n v="0"/>
    <n v="0"/>
    <n v="0"/>
    <n v="0"/>
    <n v="0"/>
    <n v="0"/>
    <x v="1"/>
    <n v="0"/>
    <n v="4"/>
    <x v="1"/>
    <x v="1"/>
    <x v="1"/>
    <n v="1"/>
  </r>
  <r>
    <d v="2022-07-27T00:00:00"/>
    <x v="0"/>
    <s v="Matias"/>
    <x v="1"/>
    <s v="02PZ0326"/>
    <x v="20"/>
    <n v="30"/>
    <n v="250"/>
    <n v="8"/>
    <m/>
    <n v="0"/>
    <n v="184975"/>
    <n v="2.25"/>
    <n v="1596"/>
    <n v="27"/>
    <n v="1083"/>
    <n v="12"/>
    <n v="2.8"/>
    <s v="PP"/>
    <n v="2000"/>
    <n v="2.24E-2"/>
    <x v="72"/>
    <n v="0.23084025854108955"/>
    <n v="4"/>
    <x v="1"/>
    <x v="1"/>
    <x v="72"/>
    <n v="1"/>
  </r>
  <r>
    <d v="2022-07-27T00:00:00"/>
    <x v="0"/>
    <s v="Brian"/>
    <x v="2"/>
    <s v="02PZ0316"/>
    <x v="2"/>
    <n v="28"/>
    <n v="900"/>
    <n v="1"/>
    <m/>
    <n v="20"/>
    <n v="184975"/>
    <n v="30"/>
    <n v="120"/>
    <n v="30"/>
    <n v="960"/>
    <n v="1"/>
    <n v="20"/>
    <s v="PP"/>
    <n v="880"/>
    <n v="0.02"/>
    <x v="30"/>
    <n v="0.9375"/>
    <n v="4"/>
    <x v="1"/>
    <x v="1"/>
    <x v="30"/>
    <n v="1"/>
  </r>
  <r>
    <d v="2022-07-27T00:00:00"/>
    <x v="0"/>
    <s v="Brian"/>
    <x v="3"/>
    <s v="02PZ0319"/>
    <x v="3"/>
    <n v="40"/>
    <n v="140"/>
    <n v="1"/>
    <m/>
    <n v="15"/>
    <n v="184975"/>
    <n v="35"/>
    <n v="103"/>
    <n v="35"/>
    <n v="824"/>
    <n v="1"/>
    <n v="65"/>
    <s v="PP"/>
    <n v="125"/>
    <n v="6.5000000000000002E-2"/>
    <x v="73"/>
    <n v="0.16990291262135923"/>
    <n v="4"/>
    <x v="1"/>
    <x v="1"/>
    <x v="73"/>
    <n v="1"/>
  </r>
  <r>
    <d v="2022-07-27T00:00:00"/>
    <x v="0"/>
    <s v="Brian"/>
    <x v="3"/>
    <s v="02PZ03105"/>
    <x v="7"/>
    <n v="0"/>
    <n v="0"/>
    <n v="0"/>
    <m/>
    <n v="5"/>
    <n v="184975"/>
    <n v="0"/>
    <n v="4"/>
    <n v="0"/>
    <n v="0"/>
    <n v="0"/>
    <n v="0"/>
    <n v="0"/>
    <n v="-5"/>
    <n v="0"/>
    <x v="1"/>
    <n v="0"/>
    <n v="4"/>
    <x v="1"/>
    <x v="1"/>
    <x v="1"/>
    <n v="1"/>
  </r>
  <r>
    <d v="2022-07-27T00:00:00"/>
    <x v="0"/>
    <s v="Brian"/>
    <x v="3"/>
    <s v="02PZ0321"/>
    <x v="21"/>
    <n v="47"/>
    <n v="357"/>
    <n v="7"/>
    <m/>
    <n v="5"/>
    <n v="184975"/>
    <n v="48"/>
    <n v="75"/>
    <n v="48"/>
    <n v="600"/>
    <n v="1"/>
    <n v="115"/>
    <s v="PP"/>
    <n v="2494"/>
    <n v="0.80500000000000005"/>
    <x v="74"/>
    <n v="0.59499999999999997"/>
    <n v="4"/>
    <x v="1"/>
    <x v="1"/>
    <x v="74"/>
    <n v="1"/>
  </r>
  <r>
    <d v="2022-07-27T00:00:00"/>
    <x v="0"/>
    <s v="Matias"/>
    <x v="4"/>
    <s v="02PZ0317"/>
    <x v="14"/>
    <n v="33"/>
    <n v="600"/>
    <n v="7"/>
    <m/>
    <m/>
    <n v="184975"/>
    <n v="5"/>
    <n v="720"/>
    <n v="40"/>
    <n v="724"/>
    <n v="8"/>
    <n v="6.2"/>
    <s v="PP"/>
    <n v="4200"/>
    <n v="4.3400000000000001E-2"/>
    <x v="66"/>
    <n v="0.82872928176795579"/>
    <n v="4"/>
    <x v="1"/>
    <x v="1"/>
    <x v="66"/>
    <n v="1"/>
  </r>
  <r>
    <d v="2022-07-27T00:00:00"/>
    <x v="1"/>
    <m/>
    <x v="0"/>
    <s v="02PZ03100"/>
    <x v="22"/>
    <m/>
    <m/>
    <m/>
    <m/>
    <m/>
    <m/>
    <n v="0"/>
    <n v="20"/>
    <n v="0"/>
    <n v="0"/>
    <n v="0"/>
    <n v="0"/>
    <n v="0"/>
    <n v="0"/>
    <n v="0"/>
    <x v="1"/>
    <n v="0"/>
    <n v="4"/>
    <x v="1"/>
    <x v="1"/>
    <x v="1"/>
    <n v="1"/>
  </r>
  <r>
    <d v="2022-07-27T00:00:00"/>
    <x v="1"/>
    <m/>
    <x v="2"/>
    <s v="02PZ03100"/>
    <x v="22"/>
    <m/>
    <m/>
    <m/>
    <m/>
    <m/>
    <m/>
    <n v="0"/>
    <n v="20"/>
    <n v="0"/>
    <n v="0"/>
    <n v="0"/>
    <n v="0"/>
    <n v="0"/>
    <n v="0"/>
    <n v="0"/>
    <x v="1"/>
    <n v="0"/>
    <n v="4"/>
    <x v="1"/>
    <x v="1"/>
    <x v="1"/>
    <n v="1"/>
  </r>
  <r>
    <d v="2022-07-27T00:00:00"/>
    <x v="1"/>
    <m/>
    <x v="4"/>
    <s v="02PZ03220"/>
    <x v="23"/>
    <m/>
    <m/>
    <m/>
    <m/>
    <m/>
    <m/>
    <n v="0"/>
    <n v="0"/>
    <n v="0"/>
    <n v="0"/>
    <n v="0"/>
    <n v="0"/>
    <n v="0"/>
    <n v="0"/>
    <n v="0"/>
    <x v="1"/>
    <n v="0"/>
    <n v="4"/>
    <x v="1"/>
    <x v="1"/>
    <x v="1"/>
    <n v="1"/>
  </r>
  <r>
    <d v="2022-07-27T00:00:00"/>
    <x v="1"/>
    <s v="Gaston"/>
    <x v="1"/>
    <s v="02PZ0326"/>
    <x v="20"/>
    <n v="27"/>
    <n v="773"/>
    <n v="8"/>
    <m/>
    <m/>
    <n v="184975"/>
    <n v="2.25"/>
    <n v="1596"/>
    <n v="27"/>
    <n v="1083"/>
    <n v="12"/>
    <n v="2.8"/>
    <s v="PP"/>
    <n v="6184"/>
    <n v="2.24E-2"/>
    <x v="75"/>
    <n v="0.7137580794090489"/>
    <n v="4"/>
    <x v="1"/>
    <x v="1"/>
    <x v="75"/>
    <n v="1"/>
  </r>
  <r>
    <d v="2022-07-27T00:00:00"/>
    <x v="1"/>
    <s v="Gaston"/>
    <x v="3"/>
    <s v="02PZ0321"/>
    <x v="21"/>
    <n v="53"/>
    <n v="544"/>
    <n v="1"/>
    <n v="5"/>
    <n v="0"/>
    <n v="184975"/>
    <n v="48"/>
    <n v="75"/>
    <n v="48"/>
    <n v="600"/>
    <n v="1"/>
    <n v="115"/>
    <s v="PP"/>
    <n v="539"/>
    <n v="0.115"/>
    <x v="76"/>
    <n v="0.90666666666666662"/>
    <n v="4"/>
    <x v="1"/>
    <x v="1"/>
    <x v="76"/>
    <n v="1"/>
  </r>
  <r>
    <d v="2022-07-27T00:00:00"/>
    <x v="2"/>
    <s v="Gaston"/>
    <x v="0"/>
    <s v="02PZ0331"/>
    <x v="18"/>
    <n v="39.1"/>
    <n v="653"/>
    <n v="4"/>
    <m/>
    <m/>
    <n v="184975"/>
    <n v="9"/>
    <n v="400"/>
    <n v="35"/>
    <n v="0"/>
    <n v="4"/>
    <n v="0"/>
    <s v="PP"/>
    <n v="2612"/>
    <n v="0"/>
    <x v="77"/>
    <n v="0"/>
    <n v="4"/>
    <x v="1"/>
    <x v="1"/>
    <x v="77"/>
    <n v="1"/>
  </r>
  <r>
    <d v="2022-07-27T00:00:00"/>
    <x v="2"/>
    <s v="Lautaro"/>
    <x v="1"/>
    <s v="02PZ0323"/>
    <x v="15"/>
    <n v="27.5"/>
    <n v="995"/>
    <n v="8"/>
    <m/>
    <m/>
    <n v="184975"/>
    <n v="2.25"/>
    <n v="1596"/>
    <n v="27"/>
    <n v="1083"/>
    <n v="12"/>
    <n v="2.8"/>
    <s v="PP"/>
    <n v="7960"/>
    <n v="2.24E-2"/>
    <x v="78"/>
    <n v="0.91874422899353647"/>
    <n v="4"/>
    <x v="1"/>
    <x v="1"/>
    <x v="78"/>
    <n v="1"/>
  </r>
  <r>
    <d v="2022-07-27T00:00:00"/>
    <x v="2"/>
    <s v="Lautaro"/>
    <x v="2"/>
    <s v="02PZ0316"/>
    <x v="2"/>
    <n v="35"/>
    <n v="35"/>
    <n v="1"/>
    <m/>
    <m/>
    <n v="184975"/>
    <n v="30"/>
    <n v="120"/>
    <n v="30"/>
    <n v="960"/>
    <n v="1"/>
    <n v="20"/>
    <s v="PP"/>
    <n v="35"/>
    <n v="0.02"/>
    <x v="79"/>
    <n v="3.6458333333333336E-2"/>
    <n v="4"/>
    <x v="1"/>
    <x v="1"/>
    <x v="79"/>
    <n v="1"/>
  </r>
  <r>
    <d v="2022-07-27T00:00:00"/>
    <x v="2"/>
    <s v="Gaston"/>
    <x v="3"/>
    <s v="02PZ0321"/>
    <x v="21"/>
    <n v="52"/>
    <n v="466"/>
    <n v="1"/>
    <m/>
    <m/>
    <n v="184975"/>
    <n v="48"/>
    <n v="75"/>
    <n v="48"/>
    <n v="600"/>
    <n v="1"/>
    <n v="115"/>
    <s v="PP"/>
    <n v="466"/>
    <n v="0.115"/>
    <x v="80"/>
    <n v="0.77666666666666662"/>
    <n v="4"/>
    <x v="1"/>
    <x v="1"/>
    <x v="80"/>
    <n v="1"/>
  </r>
  <r>
    <d v="2022-07-27T00:00:00"/>
    <x v="2"/>
    <s v="Gaston"/>
    <x v="4"/>
    <s v="02PZ0324"/>
    <x v="24"/>
    <n v="33.200000000000003"/>
    <n v="714"/>
    <n v="7"/>
    <m/>
    <m/>
    <n v="184975"/>
    <n v="5"/>
    <n v="720"/>
    <n v="40"/>
    <n v="724"/>
    <n v="8"/>
    <n v="6.2"/>
    <s v="PP"/>
    <n v="4998"/>
    <n v="4.3400000000000001E-2"/>
    <x v="81"/>
    <n v="0.98618784530386738"/>
    <n v="4"/>
    <x v="1"/>
    <x v="1"/>
    <x v="81"/>
    <n v="1"/>
  </r>
  <r>
    <d v="2022-07-26T00:00:00"/>
    <x v="1"/>
    <s v="Gustavo"/>
    <x v="3"/>
    <s v="02PZ03405"/>
    <x v="6"/>
    <m/>
    <m/>
    <m/>
    <m/>
    <m/>
    <m/>
    <n v="0"/>
    <n v="0"/>
    <n v="0"/>
    <n v="0"/>
    <n v="0"/>
    <n v="0"/>
    <n v="0"/>
    <n v="0"/>
    <n v="0"/>
    <x v="1"/>
    <n v="0"/>
    <n v="3"/>
    <x v="1"/>
    <x v="1"/>
    <x v="1"/>
    <n v="0"/>
  </r>
  <r>
    <d v="2022-07-26T00:00:00"/>
    <x v="1"/>
    <s v="Gustavo"/>
    <x v="0"/>
    <s v="02PZ03405"/>
    <x v="6"/>
    <m/>
    <m/>
    <m/>
    <m/>
    <m/>
    <m/>
    <n v="0"/>
    <n v="0"/>
    <n v="0"/>
    <n v="0"/>
    <n v="0"/>
    <n v="0"/>
    <n v="0"/>
    <n v="0"/>
    <n v="0"/>
    <x v="1"/>
    <n v="0"/>
    <n v="3"/>
    <x v="1"/>
    <x v="1"/>
    <x v="1"/>
    <n v="0"/>
  </r>
  <r>
    <d v="2022-07-26T00:00:00"/>
    <x v="1"/>
    <s v="Gustavo"/>
    <x v="1"/>
    <s v="02PZ03405"/>
    <x v="6"/>
    <m/>
    <m/>
    <m/>
    <m/>
    <m/>
    <m/>
    <n v="0"/>
    <n v="0"/>
    <n v="0"/>
    <n v="0"/>
    <n v="0"/>
    <n v="0"/>
    <n v="0"/>
    <n v="0"/>
    <n v="0"/>
    <x v="1"/>
    <n v="0"/>
    <n v="3"/>
    <x v="1"/>
    <x v="1"/>
    <x v="1"/>
    <n v="0"/>
  </r>
  <r>
    <d v="2022-07-26T00:00:00"/>
    <x v="1"/>
    <s v="Gustavo"/>
    <x v="2"/>
    <s v="02PZ03405"/>
    <x v="6"/>
    <m/>
    <m/>
    <m/>
    <m/>
    <m/>
    <m/>
    <n v="0"/>
    <n v="0"/>
    <n v="0"/>
    <n v="0"/>
    <n v="0"/>
    <n v="0"/>
    <n v="0"/>
    <n v="0"/>
    <n v="0"/>
    <x v="1"/>
    <n v="0"/>
    <n v="3"/>
    <x v="1"/>
    <x v="1"/>
    <x v="1"/>
    <n v="0"/>
  </r>
  <r>
    <d v="2022-07-26T00:00:00"/>
    <x v="1"/>
    <s v="Gustavo"/>
    <x v="4"/>
    <s v="02PZ03405"/>
    <x v="6"/>
    <m/>
    <m/>
    <m/>
    <m/>
    <m/>
    <m/>
    <n v="0"/>
    <n v="0"/>
    <n v="0"/>
    <n v="0"/>
    <n v="0"/>
    <n v="0"/>
    <n v="0"/>
    <n v="0"/>
    <n v="0"/>
    <x v="1"/>
    <n v="0"/>
    <n v="3"/>
    <x v="1"/>
    <x v="1"/>
    <x v="1"/>
    <n v="0"/>
  </r>
  <r>
    <d v="2022-07-26T00:00:00"/>
    <x v="0"/>
    <s v="Matias"/>
    <x v="0"/>
    <s v="02PZ0331"/>
    <x v="18"/>
    <n v="33"/>
    <n v="650"/>
    <n v="3"/>
    <n v="0"/>
    <n v="0"/>
    <n v="184975"/>
    <n v="9"/>
    <n v="400"/>
    <n v="35"/>
    <n v="0"/>
    <n v="4"/>
    <n v="0"/>
    <s v="PP"/>
    <n v="1950"/>
    <n v="0"/>
    <x v="82"/>
    <n v="0"/>
    <n v="3"/>
    <x v="1"/>
    <x v="1"/>
    <x v="82"/>
    <n v="1"/>
  </r>
  <r>
    <d v="2022-07-26T00:00:00"/>
    <x v="0"/>
    <s v="Matias"/>
    <x v="1"/>
    <s v="02PZ0323"/>
    <x v="15"/>
    <n v="27"/>
    <n v="1000"/>
    <n v="8"/>
    <n v="0"/>
    <n v="0"/>
    <n v="184975"/>
    <n v="2.25"/>
    <n v="1596"/>
    <n v="27"/>
    <n v="1083"/>
    <n v="12"/>
    <n v="2.8"/>
    <s v="PP"/>
    <n v="8000"/>
    <n v="2.24E-2"/>
    <x v="43"/>
    <n v="0.92336103416435822"/>
    <n v="3"/>
    <x v="1"/>
    <x v="1"/>
    <x v="43"/>
    <n v="1"/>
  </r>
  <r>
    <d v="2022-07-26T00:00:00"/>
    <x v="0"/>
    <s v="Matias"/>
    <x v="2"/>
    <s v="02PZ03231"/>
    <x v="25"/>
    <n v="0"/>
    <n v="0"/>
    <n v="0"/>
    <n v="0"/>
    <n v="0"/>
    <n v="184975"/>
    <n v="0"/>
    <n v="0"/>
    <n v="0"/>
    <n v="0"/>
    <n v="0"/>
    <n v="0"/>
    <n v="0"/>
    <n v="0"/>
    <n v="0"/>
    <x v="1"/>
    <n v="0"/>
    <n v="3"/>
    <x v="1"/>
    <x v="1"/>
    <x v="1"/>
    <n v="1"/>
  </r>
  <r>
    <d v="2022-07-26T00:00:00"/>
    <x v="0"/>
    <s v="Brian"/>
    <x v="3"/>
    <s v="02PZ0321"/>
    <x v="21"/>
    <n v="45"/>
    <n v="530"/>
    <n v="1"/>
    <n v="0"/>
    <n v="10"/>
    <n v="184975"/>
    <n v="48"/>
    <n v="75"/>
    <n v="48"/>
    <n v="600"/>
    <n v="1"/>
    <n v="115"/>
    <s v="PP"/>
    <n v="520"/>
    <n v="0.115"/>
    <x v="83"/>
    <n v="0.8833333333333333"/>
    <n v="3"/>
    <x v="1"/>
    <x v="1"/>
    <x v="83"/>
    <n v="1"/>
  </r>
  <r>
    <d v="2022-07-26T00:00:00"/>
    <x v="0"/>
    <s v="Brian"/>
    <x v="4"/>
    <s v="02PZ0324"/>
    <x v="24"/>
    <n v="31"/>
    <n v="800"/>
    <n v="7"/>
    <m/>
    <m/>
    <n v="184975"/>
    <n v="5"/>
    <n v="720"/>
    <n v="40"/>
    <n v="724"/>
    <n v="8"/>
    <n v="6.2"/>
    <s v="PP"/>
    <n v="5600"/>
    <n v="4.3400000000000001E-2"/>
    <x v="84"/>
    <n v="1.1049723756906078"/>
    <n v="3"/>
    <x v="1"/>
    <x v="1"/>
    <x v="84"/>
    <n v="1"/>
  </r>
  <r>
    <d v="2022-07-26T00:00:00"/>
    <x v="2"/>
    <s v="Lautaro"/>
    <x v="0"/>
    <s v="02PZ0331"/>
    <x v="18"/>
    <n v="40"/>
    <n v="450"/>
    <n v="4"/>
    <m/>
    <m/>
    <n v="184975"/>
    <n v="9"/>
    <n v="400"/>
    <n v="35"/>
    <n v="0"/>
    <n v="4"/>
    <n v="0"/>
    <s v="PP"/>
    <n v="1800"/>
    <n v="0"/>
    <x v="85"/>
    <n v="0"/>
    <n v="3"/>
    <x v="1"/>
    <x v="1"/>
    <x v="85"/>
    <n v="1"/>
  </r>
  <r>
    <d v="2022-07-26T00:00:00"/>
    <x v="2"/>
    <s v="Lautaro"/>
    <x v="1"/>
    <s v="02PZ0323"/>
    <x v="15"/>
    <n v="32"/>
    <n v="764"/>
    <n v="8"/>
    <m/>
    <m/>
    <n v="184975"/>
    <n v="2.25"/>
    <n v="1596"/>
    <n v="27"/>
    <n v="1083"/>
    <n v="12"/>
    <n v="2.8"/>
    <s v="PP"/>
    <n v="6112"/>
    <n v="2.24E-2"/>
    <x v="86"/>
    <n v="0.70544783010156975"/>
    <n v="3"/>
    <x v="1"/>
    <x v="1"/>
    <x v="86"/>
    <n v="1"/>
  </r>
  <r>
    <d v="2022-07-26T00:00:00"/>
    <x v="2"/>
    <s v="Cora"/>
    <x v="2"/>
    <s v="02PZ03400"/>
    <x v="26"/>
    <m/>
    <m/>
    <m/>
    <m/>
    <m/>
    <m/>
    <n v="0"/>
    <n v="0"/>
    <n v="0"/>
    <n v="0"/>
    <n v="0"/>
    <n v="0"/>
    <n v="0"/>
    <n v="0"/>
    <n v="0"/>
    <x v="1"/>
    <n v="0"/>
    <n v="3"/>
    <x v="1"/>
    <x v="1"/>
    <x v="1"/>
    <n v="1"/>
  </r>
  <r>
    <d v="2022-07-26T00:00:00"/>
    <x v="2"/>
    <s v="Gaston"/>
    <x v="3"/>
    <s v="02PZ0321"/>
    <x v="21"/>
    <n v="52.5"/>
    <n v="650"/>
    <n v="1"/>
    <n v="10"/>
    <n v="5"/>
    <n v="184975"/>
    <n v="48"/>
    <n v="75"/>
    <n v="48"/>
    <n v="600"/>
    <n v="1"/>
    <n v="115"/>
    <s v="PP"/>
    <n v="635"/>
    <n v="0.115"/>
    <x v="87"/>
    <n v="1.0833333333333333"/>
    <n v="3"/>
    <x v="1"/>
    <x v="1"/>
    <x v="87"/>
    <n v="1"/>
  </r>
  <r>
    <d v="2022-07-26T00:00:00"/>
    <x v="2"/>
    <s v="Gaston"/>
    <x v="4"/>
    <s v="02PZ0305"/>
    <x v="12"/>
    <n v="33"/>
    <n v="936"/>
    <n v="7"/>
    <m/>
    <m/>
    <n v="184965"/>
    <n v="5"/>
    <n v="720"/>
    <n v="40"/>
    <n v="724"/>
    <n v="8"/>
    <n v="6.2"/>
    <s v="PP"/>
    <n v="6552"/>
    <n v="4.3400000000000001E-2"/>
    <x v="88"/>
    <n v="1.2928176795580111"/>
    <n v="3"/>
    <x v="1"/>
    <x v="1"/>
    <x v="88"/>
    <n v="1"/>
  </r>
  <r>
    <d v="2022-07-25T00:00:00"/>
    <x v="0"/>
    <s v="Matias"/>
    <x v="4"/>
    <s v="02PZ0305"/>
    <x v="12"/>
    <n v="32"/>
    <n v="1011"/>
    <n v="7"/>
    <n v="0"/>
    <n v="0"/>
    <n v="184975"/>
    <n v="5"/>
    <n v="720"/>
    <n v="40"/>
    <n v="724"/>
    <n v="8"/>
    <n v="6.2"/>
    <s v="PP"/>
    <n v="7077"/>
    <n v="4.3400000000000001E-2"/>
    <x v="89"/>
    <n v="1.3964088397790055"/>
    <n v="2"/>
    <x v="1"/>
    <x v="1"/>
    <x v="89"/>
    <n v="1"/>
  </r>
  <r>
    <d v="2022-07-25T00:00:00"/>
    <x v="0"/>
    <s v="Matias"/>
    <x v="0"/>
    <s v="02PZ0331"/>
    <x v="18"/>
    <n v="38"/>
    <n v="506"/>
    <n v="4"/>
    <n v="0"/>
    <n v="0"/>
    <n v="184975"/>
    <n v="9"/>
    <n v="400"/>
    <n v="35"/>
    <n v="0"/>
    <n v="4"/>
    <n v="0"/>
    <s v="PP"/>
    <n v="2024"/>
    <n v="0"/>
    <x v="90"/>
    <n v="0"/>
    <n v="2"/>
    <x v="1"/>
    <x v="1"/>
    <x v="90"/>
    <n v="1"/>
  </r>
  <r>
    <d v="2022-07-25T00:00:00"/>
    <x v="0"/>
    <s v="Brian"/>
    <x v="1"/>
    <s v="02PZ0304"/>
    <x v="27"/>
    <n v="28"/>
    <n v="1000"/>
    <n v="8"/>
    <n v="0"/>
    <n v="0"/>
    <n v="184975"/>
    <n v="2.25"/>
    <n v="1596"/>
    <n v="27"/>
    <n v="1083"/>
    <n v="12"/>
    <n v="2.8"/>
    <s v="PP"/>
    <n v="8000"/>
    <n v="2.24E-2"/>
    <x v="36"/>
    <n v="0.92336103416435822"/>
    <n v="2"/>
    <x v="1"/>
    <x v="1"/>
    <x v="36"/>
    <n v="1"/>
  </r>
  <r>
    <d v="2022-07-25T00:00:00"/>
    <x v="0"/>
    <s v="Brian"/>
    <x v="2"/>
    <s v="02PZ03402"/>
    <x v="28"/>
    <n v="0"/>
    <n v="0"/>
    <n v="0"/>
    <n v="0"/>
    <n v="0"/>
    <n v="0"/>
    <n v="0"/>
    <n v="0"/>
    <n v="0"/>
    <n v="0"/>
    <n v="0"/>
    <n v="0"/>
    <n v="0"/>
    <n v="0"/>
    <n v="0"/>
    <x v="1"/>
    <n v="0"/>
    <n v="2"/>
    <x v="1"/>
    <x v="1"/>
    <x v="1"/>
    <n v="1"/>
  </r>
  <r>
    <d v="2022-07-25T00:00:00"/>
    <x v="0"/>
    <s v="Brian"/>
    <x v="3"/>
    <s v="02PZ0321"/>
    <x v="21"/>
    <n v="49"/>
    <n v="610"/>
    <n v="1"/>
    <n v="5"/>
    <n v="8"/>
    <n v="184975"/>
    <n v="48"/>
    <n v="75"/>
    <n v="48"/>
    <n v="600"/>
    <n v="1"/>
    <n v="115"/>
    <s v="PP"/>
    <n v="597"/>
    <n v="0.115"/>
    <x v="91"/>
    <n v="1.0166666666666666"/>
    <n v="2"/>
    <x v="1"/>
    <x v="1"/>
    <x v="91"/>
    <n v="1"/>
  </r>
  <r>
    <d v="2022-07-25T00:00:00"/>
    <x v="1"/>
    <s v="Gustavo"/>
    <x v="1"/>
    <s v="02PZ0304"/>
    <x v="27"/>
    <n v="27.7"/>
    <n v="791"/>
    <n v="8"/>
    <m/>
    <m/>
    <n v="184975"/>
    <n v="2.25"/>
    <n v="1596"/>
    <n v="27"/>
    <n v="1083"/>
    <n v="12"/>
    <n v="2.8"/>
    <s v="PP"/>
    <n v="6328"/>
    <n v="2.24E-2"/>
    <x v="92"/>
    <n v="0.73037857802400741"/>
    <n v="2"/>
    <x v="1"/>
    <x v="1"/>
    <x v="92"/>
    <n v="1"/>
  </r>
  <r>
    <d v="2022-07-25T00:00:00"/>
    <x v="1"/>
    <s v="Gustavo"/>
    <x v="0"/>
    <s v="02PZ0331"/>
    <x v="18"/>
    <n v="37.9"/>
    <n v="268"/>
    <n v="4"/>
    <m/>
    <m/>
    <n v="184975"/>
    <n v="9"/>
    <n v="400"/>
    <n v="35"/>
    <n v="0"/>
    <n v="4"/>
    <n v="0"/>
    <s v="PP"/>
    <n v="1072"/>
    <n v="0"/>
    <x v="93"/>
    <n v="0"/>
    <n v="2"/>
    <x v="1"/>
    <x v="1"/>
    <x v="93"/>
    <n v="1"/>
  </r>
  <r>
    <d v="2022-07-25T00:00:00"/>
    <x v="1"/>
    <m/>
    <x v="2"/>
    <s v="02PZ03405"/>
    <x v="6"/>
    <m/>
    <m/>
    <m/>
    <m/>
    <m/>
    <m/>
    <n v="0"/>
    <n v="0"/>
    <n v="0"/>
    <n v="0"/>
    <n v="0"/>
    <n v="0"/>
    <n v="0"/>
    <n v="0"/>
    <n v="0"/>
    <x v="1"/>
    <n v="0"/>
    <n v="2"/>
    <x v="1"/>
    <x v="1"/>
    <x v="1"/>
    <n v="0"/>
  </r>
  <r>
    <d v="2022-07-25T00:00:00"/>
    <x v="1"/>
    <s v="Gaston"/>
    <x v="3"/>
    <s v="02PZ0321"/>
    <x v="21"/>
    <n v="50.4"/>
    <n v="480"/>
    <n v="1"/>
    <n v="8"/>
    <n v="9"/>
    <n v="184975"/>
    <n v="48"/>
    <n v="75"/>
    <n v="48"/>
    <n v="600"/>
    <n v="1"/>
    <n v="115"/>
    <s v="PP"/>
    <n v="463"/>
    <n v="0.115"/>
    <x v="94"/>
    <n v="0.8"/>
    <n v="2"/>
    <x v="1"/>
    <x v="1"/>
    <x v="94"/>
    <n v="1"/>
  </r>
  <r>
    <d v="2022-07-25T00:00:00"/>
    <x v="1"/>
    <s v="Gaston"/>
    <x v="4"/>
    <s v="02PZ0305"/>
    <x v="12"/>
    <n v="32.5"/>
    <n v="547"/>
    <n v="7"/>
    <m/>
    <m/>
    <n v="184975"/>
    <n v="5"/>
    <n v="720"/>
    <n v="40"/>
    <n v="724"/>
    <n v="8"/>
    <n v="6.2"/>
    <s v="PP"/>
    <n v="3829"/>
    <n v="4.3400000000000001E-2"/>
    <x v="95"/>
    <n v="0.75552486187845302"/>
    <n v="2"/>
    <x v="1"/>
    <x v="1"/>
    <x v="95"/>
    <n v="1"/>
  </r>
  <r>
    <d v="2022-07-25T00:00:00"/>
    <x v="2"/>
    <s v="Lautaro"/>
    <x v="0"/>
    <s v="02PZ03105"/>
    <x v="7"/>
    <n v="46"/>
    <n v="420"/>
    <n v="1"/>
    <m/>
    <m/>
    <n v="184975"/>
    <n v="0"/>
    <n v="4"/>
    <n v="0"/>
    <n v="0"/>
    <n v="0"/>
    <n v="0"/>
    <n v="0"/>
    <n v="420"/>
    <n v="0"/>
    <x v="96"/>
    <n v="0"/>
    <n v="2"/>
    <x v="1"/>
    <x v="1"/>
    <x v="96"/>
    <n v="1"/>
  </r>
  <r>
    <d v="2022-07-25T00:00:00"/>
    <x v="2"/>
    <s v="Lautaro"/>
    <x v="0"/>
    <s v="02PZ0302"/>
    <x v="0"/>
    <n v="46"/>
    <n v="420"/>
    <n v="1"/>
    <m/>
    <m/>
    <n v="184975"/>
    <n v="48"/>
    <n v="75"/>
    <n v="48"/>
    <n v="600"/>
    <n v="1"/>
    <n v="105"/>
    <s v="PP"/>
    <n v="420"/>
    <n v="0.105"/>
    <x v="96"/>
    <n v="0.7"/>
    <n v="2"/>
    <x v="1"/>
    <x v="1"/>
    <x v="96"/>
    <n v="1"/>
  </r>
  <r>
    <d v="2022-07-25T00:00:00"/>
    <x v="2"/>
    <s v="Lautaro"/>
    <x v="1"/>
    <s v="02PZ0304"/>
    <x v="27"/>
    <n v="30"/>
    <n v="1100"/>
    <n v="8"/>
    <m/>
    <m/>
    <n v="184975"/>
    <n v="2.25"/>
    <n v="1596"/>
    <n v="27"/>
    <n v="1083"/>
    <n v="12"/>
    <n v="2.8"/>
    <s v="PP"/>
    <n v="8800"/>
    <n v="2.24E-2"/>
    <x v="97"/>
    <n v="1.0156971375807942"/>
    <n v="2"/>
    <x v="1"/>
    <x v="1"/>
    <x v="97"/>
    <n v="1"/>
  </r>
  <r>
    <d v="2022-07-25T00:00:00"/>
    <x v="2"/>
    <s v="Lautaro"/>
    <x v="2"/>
    <s v="02PZ03402"/>
    <x v="28"/>
    <m/>
    <m/>
    <m/>
    <m/>
    <m/>
    <m/>
    <n v="0"/>
    <n v="0"/>
    <n v="0"/>
    <n v="0"/>
    <n v="0"/>
    <n v="0"/>
    <n v="0"/>
    <n v="0"/>
    <n v="0"/>
    <x v="1"/>
    <n v="0"/>
    <n v="2"/>
    <x v="1"/>
    <x v="1"/>
    <x v="1"/>
    <n v="1"/>
  </r>
  <r>
    <d v="2022-07-25T00:00:00"/>
    <x v="2"/>
    <s v="Lautaro"/>
    <x v="4"/>
    <s v="02PZ0305"/>
    <x v="12"/>
    <n v="32"/>
    <n v="930"/>
    <n v="7"/>
    <m/>
    <m/>
    <n v="184975"/>
    <n v="5"/>
    <n v="720"/>
    <n v="40"/>
    <n v="724"/>
    <n v="8"/>
    <n v="6.2"/>
    <s v="PP"/>
    <n v="6510"/>
    <n v="4.3400000000000001E-2"/>
    <x v="98"/>
    <n v="1.2845303867403315"/>
    <n v="2"/>
    <x v="1"/>
    <x v="1"/>
    <x v="98"/>
    <n v="1"/>
  </r>
  <r>
    <d v="2022-07-22T00:00:00"/>
    <x v="0"/>
    <s v="Matias"/>
    <x v="0"/>
    <s v="02PZ0302"/>
    <x v="0"/>
    <n v="39"/>
    <n v="730"/>
    <n v="1"/>
    <m/>
    <n v="10"/>
    <n v="184975"/>
    <n v="48"/>
    <n v="75"/>
    <n v="48"/>
    <n v="600"/>
    <n v="1"/>
    <n v="105"/>
    <s v="PP"/>
    <n v="720"/>
    <n v="0.105"/>
    <x v="99"/>
    <n v="1.2166666666666666"/>
    <n v="6"/>
    <x v="1"/>
    <x v="2"/>
    <x v="99"/>
    <n v="1"/>
  </r>
  <r>
    <d v="2022-07-22T00:00:00"/>
    <x v="0"/>
    <s v="Matias"/>
    <x v="1"/>
    <s v="02PZ0304"/>
    <x v="27"/>
    <n v="30"/>
    <n v="1070"/>
    <n v="8"/>
    <m/>
    <n v="0"/>
    <n v="184975"/>
    <n v="2.25"/>
    <n v="1596"/>
    <n v="27"/>
    <n v="1083"/>
    <n v="12"/>
    <n v="2.8"/>
    <s v="PP"/>
    <n v="8560"/>
    <n v="2.24E-2"/>
    <x v="100"/>
    <n v="0.98799630655586335"/>
    <n v="6"/>
    <x v="1"/>
    <x v="2"/>
    <x v="100"/>
    <n v="1"/>
  </r>
  <r>
    <d v="2022-07-22T00:00:00"/>
    <x v="0"/>
    <s v="Brian"/>
    <x v="2"/>
    <s v="02PZ03402"/>
    <x v="28"/>
    <n v="0"/>
    <n v="0"/>
    <n v="0"/>
    <m/>
    <n v="0"/>
    <n v="0"/>
    <n v="0"/>
    <n v="0"/>
    <n v="0"/>
    <n v="0"/>
    <n v="0"/>
    <n v="0"/>
    <n v="0"/>
    <n v="0"/>
    <n v="0"/>
    <x v="1"/>
    <n v="0"/>
    <n v="6"/>
    <x v="1"/>
    <x v="2"/>
    <x v="1"/>
    <n v="1"/>
  </r>
  <r>
    <d v="2022-07-22T00:00:00"/>
    <x v="0"/>
    <s v="Brian"/>
    <x v="3"/>
    <s v="02PZ0321"/>
    <x v="21"/>
    <n v="51"/>
    <n v="535"/>
    <n v="1"/>
    <m/>
    <n v="5"/>
    <n v="184975"/>
    <n v="48"/>
    <n v="75"/>
    <n v="48"/>
    <n v="600"/>
    <n v="1"/>
    <n v="115"/>
    <s v="PP"/>
    <n v="530"/>
    <n v="0.115"/>
    <x v="101"/>
    <n v="0.89166666666666672"/>
    <n v="6"/>
    <x v="1"/>
    <x v="2"/>
    <x v="101"/>
    <n v="1"/>
  </r>
  <r>
    <d v="2022-07-22T00:00:00"/>
    <x v="0"/>
    <s v="Matias"/>
    <x v="4"/>
    <s v="02PZ0305"/>
    <x v="12"/>
    <n v="32"/>
    <n v="940"/>
    <n v="7"/>
    <m/>
    <m/>
    <n v="184975"/>
    <n v="5"/>
    <n v="720"/>
    <n v="40"/>
    <n v="724"/>
    <n v="8"/>
    <n v="6.2"/>
    <s v="PP"/>
    <n v="6580"/>
    <n v="4.3400000000000001E-2"/>
    <x v="102"/>
    <n v="1.298342541436464"/>
    <n v="6"/>
    <x v="1"/>
    <x v="2"/>
    <x v="102"/>
    <n v="1"/>
  </r>
  <r>
    <d v="2022-07-22T00:00:00"/>
    <x v="1"/>
    <s v="Gustavo"/>
    <x v="0"/>
    <s v="02PZ0301"/>
    <x v="29"/>
    <n v="40.299999999999997"/>
    <n v="350"/>
    <n v="1"/>
    <n v="3"/>
    <n v="0"/>
    <n v="184975"/>
    <n v="51"/>
    <n v="71"/>
    <n v="51"/>
    <n v="600"/>
    <n v="1"/>
    <n v="120"/>
    <s v="PP"/>
    <n v="347"/>
    <n v="0.12"/>
    <x v="103"/>
    <n v="0.58333333333333337"/>
    <n v="6"/>
    <x v="1"/>
    <x v="2"/>
    <x v="103"/>
    <n v="1"/>
  </r>
  <r>
    <d v="2022-07-22T00:00:00"/>
    <x v="1"/>
    <s v="Gustavo"/>
    <x v="1"/>
    <s v="02PZ0304"/>
    <x v="27"/>
    <n v="27.6"/>
    <n v="330"/>
    <n v="8"/>
    <m/>
    <m/>
    <n v="184975"/>
    <n v="2.25"/>
    <n v="1596"/>
    <n v="27"/>
    <n v="1083"/>
    <n v="12"/>
    <n v="2.8"/>
    <s v="PP"/>
    <n v="2640"/>
    <n v="2.24E-2"/>
    <x v="104"/>
    <n v="0.3047091412742382"/>
    <n v="6"/>
    <x v="1"/>
    <x v="2"/>
    <x v="104"/>
    <n v="1"/>
  </r>
  <r>
    <d v="2022-07-22T00:00:00"/>
    <x v="1"/>
    <m/>
    <x v="2"/>
    <s v="02PZ03401"/>
    <x v="30"/>
    <m/>
    <m/>
    <m/>
    <m/>
    <m/>
    <m/>
    <n v="0"/>
    <n v="0"/>
    <n v="0"/>
    <n v="0"/>
    <n v="0"/>
    <n v="0"/>
    <n v="0"/>
    <n v="0"/>
    <n v="0"/>
    <x v="1"/>
    <n v="0"/>
    <n v="6"/>
    <x v="1"/>
    <x v="2"/>
    <x v="1"/>
    <n v="1"/>
  </r>
  <r>
    <d v="2022-07-22T00:00:00"/>
    <x v="1"/>
    <s v="Gustavo"/>
    <x v="3"/>
    <s v="02PZ0321"/>
    <x v="21"/>
    <n v="50"/>
    <n v="191"/>
    <n v="1"/>
    <n v="11"/>
    <n v="8"/>
    <n v="184975"/>
    <n v="48"/>
    <n v="75"/>
    <n v="48"/>
    <n v="600"/>
    <n v="1"/>
    <n v="115"/>
    <s v="PP"/>
    <n v="172"/>
    <n v="0.115"/>
    <x v="105"/>
    <n v="0.31833333333333336"/>
    <n v="6"/>
    <x v="1"/>
    <x v="2"/>
    <x v="105"/>
    <n v="1"/>
  </r>
  <r>
    <d v="2022-07-22T00:00:00"/>
    <x v="1"/>
    <m/>
    <x v="4"/>
    <s v="02PZ03405"/>
    <x v="6"/>
    <m/>
    <m/>
    <m/>
    <m/>
    <m/>
    <m/>
    <n v="0"/>
    <n v="0"/>
    <n v="0"/>
    <n v="0"/>
    <n v="0"/>
    <n v="0"/>
    <n v="0"/>
    <n v="0"/>
    <n v="0"/>
    <x v="1"/>
    <n v="0"/>
    <n v="6"/>
    <x v="1"/>
    <x v="2"/>
    <x v="1"/>
    <n v="0"/>
  </r>
  <r>
    <d v="2022-07-22T00:00:00"/>
    <x v="2"/>
    <s v="Lautaro"/>
    <x v="0"/>
    <s v="02PZ0302"/>
    <x v="0"/>
    <n v="40.299999999999997"/>
    <n v="630"/>
    <n v="1"/>
    <m/>
    <m/>
    <n v="184706"/>
    <n v="48"/>
    <n v="75"/>
    <n v="48"/>
    <n v="600"/>
    <n v="1"/>
    <n v="105"/>
    <s v="PP"/>
    <n v="630"/>
    <n v="0.105"/>
    <x v="106"/>
    <n v="1.05"/>
    <n v="6"/>
    <x v="1"/>
    <x v="2"/>
    <x v="106"/>
    <n v="1"/>
  </r>
  <r>
    <d v="2022-07-22T00:00:00"/>
    <x v="2"/>
    <s v="Lautaro"/>
    <x v="1"/>
    <s v="02PZ0304"/>
    <x v="27"/>
    <n v="27.6"/>
    <n v="1029"/>
    <n v="8"/>
    <m/>
    <m/>
    <n v="184706"/>
    <n v="2.25"/>
    <n v="1596"/>
    <n v="27"/>
    <n v="1083"/>
    <n v="12"/>
    <n v="2.8"/>
    <s v="PP"/>
    <n v="8232"/>
    <n v="2.24E-2"/>
    <x v="107"/>
    <n v="0.95013850415512469"/>
    <n v="6"/>
    <x v="1"/>
    <x v="2"/>
    <x v="107"/>
    <n v="1"/>
  </r>
  <r>
    <d v="2022-07-22T00:00:00"/>
    <x v="2"/>
    <s v="Lautaro"/>
    <x v="2"/>
    <s v="02PZ0307"/>
    <x v="31"/>
    <n v="32.200000000000003"/>
    <n v="713"/>
    <n v="8"/>
    <m/>
    <m/>
    <n v="184706"/>
    <n v="3.12"/>
    <n v="1152"/>
    <n v="25"/>
    <n v="1152"/>
    <n v="8"/>
    <n v="3.9"/>
    <s v="PP"/>
    <n v="5704"/>
    <n v="3.1199999999999999E-2"/>
    <x v="108"/>
    <n v="0.61892361111111116"/>
    <n v="6"/>
    <x v="1"/>
    <x v="2"/>
    <x v="108"/>
    <n v="1"/>
  </r>
  <r>
    <d v="2022-07-22T00:00:00"/>
    <x v="2"/>
    <s v="Lucas"/>
    <x v="3"/>
    <s v="02PZ0321"/>
    <x v="21"/>
    <n v="50.4"/>
    <n v="415"/>
    <n v="1"/>
    <m/>
    <m/>
    <n v="184706"/>
    <n v="48"/>
    <n v="75"/>
    <n v="48"/>
    <n v="600"/>
    <n v="1"/>
    <n v="115"/>
    <s v="PP"/>
    <n v="415"/>
    <n v="0.115"/>
    <x v="109"/>
    <n v="0.69166666666666665"/>
    <n v="6"/>
    <x v="1"/>
    <x v="2"/>
    <x v="109"/>
    <n v="1"/>
  </r>
  <r>
    <d v="2022-07-22T00:00:00"/>
    <x v="2"/>
    <s v="Lucas"/>
    <x v="4"/>
    <s v="02PZ0305"/>
    <x v="12"/>
    <n v="32.700000000000003"/>
    <n v="855"/>
    <n v="7"/>
    <m/>
    <m/>
    <n v="184706"/>
    <n v="5"/>
    <n v="720"/>
    <n v="40"/>
    <n v="724"/>
    <n v="8"/>
    <n v="6.2"/>
    <s v="PP"/>
    <n v="5985"/>
    <n v="4.3400000000000001E-2"/>
    <x v="110"/>
    <n v="1.180939226519337"/>
    <n v="6"/>
    <x v="1"/>
    <x v="2"/>
    <x v="110"/>
    <n v="1"/>
  </r>
  <r>
    <d v="2022-07-21T00:00:00"/>
    <x v="0"/>
    <s v="Matias"/>
    <x v="0"/>
    <s v="02PZ0302"/>
    <x v="0"/>
    <n v="35"/>
    <n v="680"/>
    <n v="1"/>
    <n v="0"/>
    <n v="20"/>
    <n v="184706"/>
    <n v="48"/>
    <n v="75"/>
    <n v="48"/>
    <n v="600"/>
    <n v="1"/>
    <n v="105"/>
    <s v="PP"/>
    <n v="660"/>
    <n v="0.105"/>
    <x v="111"/>
    <n v="1.1333333333333333"/>
    <n v="5"/>
    <x v="1"/>
    <x v="2"/>
    <x v="111"/>
    <n v="1"/>
  </r>
  <r>
    <d v="2022-07-21T00:00:00"/>
    <x v="0"/>
    <s v="Matias"/>
    <x v="1"/>
    <s v="02PZ0304"/>
    <x v="27"/>
    <n v="27"/>
    <n v="966"/>
    <n v="8"/>
    <n v="0"/>
    <n v="0"/>
    <n v="184706"/>
    <n v="2.25"/>
    <n v="1596"/>
    <n v="27"/>
    <n v="1083"/>
    <n v="12"/>
    <n v="2.8"/>
    <s v="PP"/>
    <n v="7728"/>
    <n v="2.24E-2"/>
    <x v="112"/>
    <n v="0.89196675900277012"/>
    <n v="5"/>
    <x v="1"/>
    <x v="2"/>
    <x v="112"/>
    <n v="1"/>
  </r>
  <r>
    <d v="2022-07-21T00:00:00"/>
    <x v="0"/>
    <s v="Brian"/>
    <x v="2"/>
    <s v="02PZ0307"/>
    <x v="31"/>
    <n v="32"/>
    <n v="810"/>
    <n v="8"/>
    <n v="0"/>
    <n v="0"/>
    <n v="184706"/>
    <n v="3.12"/>
    <n v="1152"/>
    <n v="25"/>
    <n v="1152"/>
    <n v="8"/>
    <n v="3.9"/>
    <s v="PP"/>
    <n v="6480"/>
    <n v="3.1199999999999999E-2"/>
    <x v="113"/>
    <n v="0.703125"/>
    <n v="5"/>
    <x v="1"/>
    <x v="2"/>
    <x v="113"/>
    <n v="1"/>
  </r>
  <r>
    <d v="2022-07-21T00:00:00"/>
    <x v="0"/>
    <s v="Brian"/>
    <x v="3"/>
    <s v="02PZ03402"/>
    <x v="28"/>
    <n v="0"/>
    <n v="0"/>
    <n v="0"/>
    <n v="0"/>
    <n v="0"/>
    <n v="0"/>
    <n v="0"/>
    <n v="0"/>
    <n v="0"/>
    <n v="0"/>
    <n v="0"/>
    <n v="0"/>
    <n v="0"/>
    <n v="0"/>
    <n v="0"/>
    <x v="1"/>
    <n v="0"/>
    <n v="5"/>
    <x v="1"/>
    <x v="2"/>
    <x v="1"/>
    <n v="1"/>
  </r>
  <r>
    <d v="2022-07-21T00:00:00"/>
    <x v="0"/>
    <s v="Matias"/>
    <x v="4"/>
    <s v="02PZ0305"/>
    <x v="12"/>
    <n v="32"/>
    <n v="890"/>
    <n v="7"/>
    <n v="0"/>
    <n v="0"/>
    <n v="184706"/>
    <n v="5"/>
    <n v="720"/>
    <n v="40"/>
    <n v="724"/>
    <n v="8"/>
    <n v="6.2"/>
    <s v="PP"/>
    <n v="6230"/>
    <n v="4.3400000000000001E-2"/>
    <x v="114"/>
    <n v="1.229281767955801"/>
    <n v="5"/>
    <x v="1"/>
    <x v="2"/>
    <x v="114"/>
    <n v="1"/>
  </r>
  <r>
    <d v="2022-07-21T00:00:00"/>
    <x v="1"/>
    <s v="Gustavo"/>
    <x v="0"/>
    <s v="02PZ0302"/>
    <x v="0"/>
    <n v="46.5"/>
    <n v="585"/>
    <n v="1"/>
    <n v="2"/>
    <n v="0"/>
    <n v="184706"/>
    <n v="48"/>
    <n v="75"/>
    <n v="48"/>
    <n v="600"/>
    <n v="1"/>
    <n v="105"/>
    <s v="PP"/>
    <n v="583"/>
    <n v="0.105"/>
    <x v="115"/>
    <n v="0.97499999999999998"/>
    <n v="5"/>
    <x v="1"/>
    <x v="2"/>
    <x v="115"/>
    <n v="1"/>
  </r>
  <r>
    <d v="2022-07-21T00:00:00"/>
    <x v="1"/>
    <s v="Gustavo"/>
    <x v="1"/>
    <s v="02PZ0304"/>
    <x v="27"/>
    <n v="27.6"/>
    <n v="909"/>
    <n v="8"/>
    <m/>
    <m/>
    <n v="184706"/>
    <n v="2.25"/>
    <n v="1596"/>
    <n v="27"/>
    <n v="1083"/>
    <n v="12"/>
    <n v="2.8"/>
    <s v="PP"/>
    <n v="7272"/>
    <n v="2.24E-2"/>
    <x v="116"/>
    <n v="0.83933518005540164"/>
    <n v="5"/>
    <x v="1"/>
    <x v="2"/>
    <x v="116"/>
    <n v="1"/>
  </r>
  <r>
    <d v="2022-07-21T00:00:00"/>
    <x v="1"/>
    <s v="Gustavo"/>
    <x v="2"/>
    <s v="02PZ0307"/>
    <x v="31"/>
    <n v="32.1"/>
    <n v="587"/>
    <n v="8"/>
    <m/>
    <m/>
    <n v="184706"/>
    <n v="3.12"/>
    <n v="1152"/>
    <n v="25"/>
    <n v="1152"/>
    <n v="8"/>
    <n v="3.9"/>
    <s v="PP"/>
    <n v="4696"/>
    <n v="3.1199999999999999E-2"/>
    <x v="117"/>
    <n v="0.50954861111111116"/>
    <n v="5"/>
    <x v="1"/>
    <x v="2"/>
    <x v="117"/>
    <n v="1"/>
  </r>
  <r>
    <d v="2022-07-21T00:00:00"/>
    <x v="1"/>
    <s v="Gustavo"/>
    <x v="3"/>
    <s v="02PZ03402"/>
    <x v="28"/>
    <m/>
    <m/>
    <m/>
    <m/>
    <m/>
    <m/>
    <n v="0"/>
    <n v="0"/>
    <n v="0"/>
    <n v="0"/>
    <n v="0"/>
    <n v="0"/>
    <n v="0"/>
    <n v="0"/>
    <n v="0"/>
    <x v="1"/>
    <n v="0"/>
    <n v="5"/>
    <x v="1"/>
    <x v="2"/>
    <x v="1"/>
    <n v="1"/>
  </r>
  <r>
    <d v="2022-07-21T00:00:00"/>
    <x v="1"/>
    <s v="Gustavo"/>
    <x v="4"/>
    <s v="02PZ0305"/>
    <x v="12"/>
    <n v="32.6"/>
    <n v="406"/>
    <n v="7"/>
    <m/>
    <m/>
    <n v="184706"/>
    <n v="5"/>
    <n v="720"/>
    <n v="40"/>
    <n v="724"/>
    <n v="8"/>
    <n v="6.2"/>
    <s v="PP"/>
    <n v="2842"/>
    <n v="4.3400000000000001E-2"/>
    <x v="118"/>
    <n v="0.56077348066298338"/>
    <n v="5"/>
    <x v="1"/>
    <x v="2"/>
    <x v="118"/>
    <n v="1"/>
  </r>
  <r>
    <d v="2022-07-21T00:00:00"/>
    <x v="2"/>
    <s v="Gaston"/>
    <x v="0"/>
    <s v="02PZ0302"/>
    <x v="0"/>
    <n v="46"/>
    <n v="488"/>
    <n v="1"/>
    <m/>
    <m/>
    <n v="184706"/>
    <n v="48"/>
    <n v="75"/>
    <n v="48"/>
    <n v="600"/>
    <n v="1"/>
    <n v="105"/>
    <s v="PP"/>
    <n v="488"/>
    <n v="0.105"/>
    <x v="119"/>
    <n v="0.81333333333333335"/>
    <n v="5"/>
    <x v="1"/>
    <x v="2"/>
    <x v="119"/>
    <n v="1"/>
  </r>
  <r>
    <d v="2022-07-21T00:00:00"/>
    <x v="2"/>
    <s v="Lautaro"/>
    <x v="3"/>
    <s v="02PZ0304"/>
    <x v="27"/>
    <n v="27.4"/>
    <n v="1018"/>
    <n v="8"/>
    <m/>
    <m/>
    <n v="184706"/>
    <n v="2.25"/>
    <n v="1596"/>
    <n v="27"/>
    <n v="1083"/>
    <n v="12"/>
    <n v="2.8"/>
    <s v="PP"/>
    <n v="8144"/>
    <n v="2.24E-2"/>
    <x v="120"/>
    <n v="0.93998153277931673"/>
    <n v="5"/>
    <x v="1"/>
    <x v="2"/>
    <x v="120"/>
    <n v="1"/>
  </r>
  <r>
    <d v="2022-07-21T00:00:00"/>
    <x v="2"/>
    <s v="Gaston"/>
    <x v="2"/>
    <s v="02PZ0307"/>
    <x v="31"/>
    <n v="32.1"/>
    <n v="761"/>
    <n v="8"/>
    <m/>
    <m/>
    <n v="184706"/>
    <n v="3.12"/>
    <n v="1152"/>
    <n v="25"/>
    <n v="1152"/>
    <n v="8"/>
    <n v="3.9"/>
    <s v="PP"/>
    <n v="6088"/>
    <n v="3.1199999999999999E-2"/>
    <x v="121"/>
    <n v="0.66059027777777779"/>
    <n v="5"/>
    <x v="1"/>
    <x v="2"/>
    <x v="121"/>
    <n v="1"/>
  </r>
  <r>
    <d v="2022-07-21T00:00:00"/>
    <x v="2"/>
    <s v="Lautaro"/>
    <x v="1"/>
    <s v="02PZ03402"/>
    <x v="28"/>
    <n v="0"/>
    <n v="0"/>
    <n v="0"/>
    <m/>
    <m/>
    <n v="0"/>
    <n v="0"/>
    <n v="0"/>
    <n v="0"/>
    <n v="0"/>
    <n v="0"/>
    <n v="0"/>
    <n v="0"/>
    <n v="0"/>
    <n v="0"/>
    <x v="1"/>
    <n v="0"/>
    <n v="5"/>
    <x v="1"/>
    <x v="2"/>
    <x v="1"/>
    <n v="1"/>
  </r>
  <r>
    <d v="2022-07-21T00:00:00"/>
    <x v="2"/>
    <s v="Lucas"/>
    <x v="4"/>
    <s v="02PZ0305"/>
    <x v="12"/>
    <n v="32.6"/>
    <n v="911"/>
    <n v="7"/>
    <m/>
    <m/>
    <n v="184706"/>
    <n v="5"/>
    <n v="720"/>
    <n v="40"/>
    <n v="724"/>
    <n v="8"/>
    <n v="6.2"/>
    <s v="PP"/>
    <n v="6377"/>
    <n v="4.3400000000000001E-2"/>
    <x v="122"/>
    <n v="1.2582872928176796"/>
    <n v="5"/>
    <x v="1"/>
    <x v="2"/>
    <x v="122"/>
    <n v="1"/>
  </r>
  <r>
    <d v="2022-07-20T00:00:00"/>
    <x v="1"/>
    <s v="Julian"/>
    <x v="0"/>
    <s v="02PZ03405"/>
    <x v="6"/>
    <m/>
    <m/>
    <m/>
    <m/>
    <m/>
    <m/>
    <n v="0"/>
    <n v="0"/>
    <n v="0"/>
    <n v="0"/>
    <n v="0"/>
    <n v="0"/>
    <n v="0"/>
    <n v="0"/>
    <n v="0"/>
    <x v="1"/>
    <n v="0"/>
    <n v="4"/>
    <x v="1"/>
    <x v="2"/>
    <x v="1"/>
    <n v="0"/>
  </r>
  <r>
    <d v="2022-07-20T00:00:00"/>
    <x v="1"/>
    <s v="Julian"/>
    <x v="1"/>
    <s v="02PZ03405"/>
    <x v="6"/>
    <m/>
    <m/>
    <m/>
    <m/>
    <m/>
    <m/>
    <n v="0"/>
    <n v="0"/>
    <n v="0"/>
    <n v="0"/>
    <n v="0"/>
    <n v="0"/>
    <n v="0"/>
    <n v="0"/>
    <n v="0"/>
    <x v="1"/>
    <n v="0"/>
    <n v="4"/>
    <x v="1"/>
    <x v="2"/>
    <x v="1"/>
    <n v="0"/>
  </r>
  <r>
    <d v="2022-07-20T00:00:00"/>
    <x v="1"/>
    <s v="Gustavo"/>
    <x v="2"/>
    <s v="02PZ03405"/>
    <x v="6"/>
    <m/>
    <m/>
    <m/>
    <m/>
    <m/>
    <m/>
    <n v="0"/>
    <n v="0"/>
    <n v="0"/>
    <n v="0"/>
    <n v="0"/>
    <n v="0"/>
    <n v="0"/>
    <n v="0"/>
    <n v="0"/>
    <x v="1"/>
    <n v="0"/>
    <n v="4"/>
    <x v="1"/>
    <x v="2"/>
    <x v="1"/>
    <n v="0"/>
  </r>
  <r>
    <d v="2022-07-20T00:00:00"/>
    <x v="1"/>
    <s v="Gustavo"/>
    <x v="3"/>
    <s v="02PZ03405"/>
    <x v="6"/>
    <m/>
    <m/>
    <m/>
    <m/>
    <m/>
    <m/>
    <n v="0"/>
    <n v="0"/>
    <n v="0"/>
    <n v="0"/>
    <n v="0"/>
    <n v="0"/>
    <n v="0"/>
    <n v="0"/>
    <n v="0"/>
    <x v="1"/>
    <n v="0"/>
    <n v="4"/>
    <x v="1"/>
    <x v="2"/>
    <x v="1"/>
    <n v="0"/>
  </r>
  <r>
    <d v="2022-07-20T00:00:00"/>
    <x v="1"/>
    <s v="Gustavo"/>
    <x v="4"/>
    <s v="02PZ03405"/>
    <x v="6"/>
    <m/>
    <m/>
    <m/>
    <m/>
    <m/>
    <m/>
    <n v="0"/>
    <n v="0"/>
    <n v="0"/>
    <n v="0"/>
    <n v="0"/>
    <n v="0"/>
    <n v="0"/>
    <n v="0"/>
    <n v="0"/>
    <x v="1"/>
    <n v="0"/>
    <n v="4"/>
    <x v="1"/>
    <x v="2"/>
    <x v="1"/>
    <n v="0"/>
  </r>
  <r>
    <d v="2022-07-20T00:00:00"/>
    <x v="0"/>
    <s v="Matias"/>
    <x v="0"/>
    <s v="02PZ0302"/>
    <x v="0"/>
    <n v="70"/>
    <n v="522"/>
    <n v="1"/>
    <m/>
    <n v="35"/>
    <n v="184706"/>
    <n v="48"/>
    <n v="75"/>
    <n v="48"/>
    <n v="600"/>
    <n v="1"/>
    <n v="105"/>
    <s v="PP"/>
    <n v="487"/>
    <n v="0.105"/>
    <x v="123"/>
    <n v="0.87"/>
    <n v="4"/>
    <x v="1"/>
    <x v="2"/>
    <x v="123"/>
    <n v="1"/>
  </r>
  <r>
    <d v="2022-07-20T00:00:00"/>
    <x v="0"/>
    <s v="Matias"/>
    <x v="0"/>
    <s v="02PZ03201"/>
    <x v="32"/>
    <n v="0"/>
    <n v="0"/>
    <n v="0"/>
    <m/>
    <m/>
    <n v="184706"/>
    <n v="0"/>
    <n v="0"/>
    <n v="0"/>
    <n v="0"/>
    <n v="0"/>
    <n v="0"/>
    <n v="0"/>
    <n v="0"/>
    <n v="0"/>
    <x v="1"/>
    <n v="0"/>
    <n v="4"/>
    <x v="1"/>
    <x v="2"/>
    <x v="1"/>
    <n v="1"/>
  </r>
  <r>
    <d v="2022-07-20T00:00:00"/>
    <x v="0"/>
    <s v="Matias"/>
    <x v="1"/>
    <s v="02PZ0304"/>
    <x v="27"/>
    <n v="28"/>
    <n v="900"/>
    <n v="8"/>
    <m/>
    <m/>
    <n v="184706"/>
    <n v="2.25"/>
    <n v="1596"/>
    <n v="27"/>
    <n v="1083"/>
    <n v="12"/>
    <n v="2.8"/>
    <s v="PP"/>
    <n v="7200"/>
    <n v="2.24E-2"/>
    <x v="30"/>
    <n v="0.83102493074792239"/>
    <n v="4"/>
    <x v="1"/>
    <x v="2"/>
    <x v="30"/>
    <n v="1"/>
  </r>
  <r>
    <d v="2022-07-20T00:00:00"/>
    <x v="0"/>
    <s v="Brian"/>
    <x v="2"/>
    <s v="02PZ0307"/>
    <x v="31"/>
    <n v="30"/>
    <n v="839"/>
    <n v="8"/>
    <m/>
    <m/>
    <n v="184706"/>
    <n v="3.12"/>
    <n v="1152"/>
    <n v="25"/>
    <n v="1152"/>
    <n v="8"/>
    <n v="3.9"/>
    <s v="PP"/>
    <n v="6712"/>
    <n v="3.1199999999999999E-2"/>
    <x v="124"/>
    <n v="0.72829861111111116"/>
    <n v="4"/>
    <x v="1"/>
    <x v="2"/>
    <x v="124"/>
    <n v="1"/>
  </r>
  <r>
    <d v="2022-07-20T00:00:00"/>
    <x v="0"/>
    <s v="Brian"/>
    <x v="3"/>
    <s v="02PZ03200"/>
    <x v="1"/>
    <n v="0"/>
    <n v="0"/>
    <n v="0"/>
    <m/>
    <m/>
    <m/>
    <n v="0"/>
    <n v="0"/>
    <n v="0"/>
    <n v="0"/>
    <n v="0"/>
    <n v="0"/>
    <n v="0"/>
    <n v="0"/>
    <n v="0"/>
    <x v="1"/>
    <n v="0"/>
    <n v="4"/>
    <x v="1"/>
    <x v="2"/>
    <x v="1"/>
    <n v="1"/>
  </r>
  <r>
    <d v="2022-07-20T00:00:00"/>
    <x v="0"/>
    <s v="Brian"/>
    <x v="4"/>
    <s v="02PZ0305"/>
    <x v="12"/>
    <n v="22"/>
    <n v="1260"/>
    <n v="7"/>
    <m/>
    <m/>
    <n v="184706"/>
    <n v="5"/>
    <n v="720"/>
    <n v="40"/>
    <n v="724"/>
    <n v="8"/>
    <n v="6.2"/>
    <s v="PP"/>
    <n v="8820"/>
    <n v="4.3400000000000001E-2"/>
    <x v="58"/>
    <n v="1.7403314917127073"/>
    <n v="4"/>
    <x v="1"/>
    <x v="2"/>
    <x v="58"/>
    <n v="1"/>
  </r>
  <r>
    <d v="2022-07-20T00:00:00"/>
    <x v="2"/>
    <s v="Gaston"/>
    <x v="0"/>
    <s v="02PZ0302"/>
    <x v="0"/>
    <n v="45"/>
    <n v="706"/>
    <n v="1"/>
    <n v="12"/>
    <n v="5"/>
    <n v="184706"/>
    <n v="48"/>
    <n v="75"/>
    <n v="48"/>
    <n v="600"/>
    <n v="1"/>
    <n v="105"/>
    <s v="PP"/>
    <n v="689"/>
    <n v="0.105"/>
    <x v="125"/>
    <n v="1.1766666666666667"/>
    <n v="4"/>
    <x v="1"/>
    <x v="2"/>
    <x v="125"/>
    <n v="1"/>
  </r>
  <r>
    <d v="2022-07-20T00:00:00"/>
    <x v="2"/>
    <s v="Lautaro"/>
    <x v="1"/>
    <s v="02PZ0304"/>
    <x v="27"/>
    <n v="29"/>
    <n v="1478"/>
    <n v="8"/>
    <m/>
    <m/>
    <n v="184706"/>
    <n v="2.25"/>
    <n v="1596"/>
    <n v="27"/>
    <n v="1083"/>
    <n v="12"/>
    <n v="2.8"/>
    <s v="PP"/>
    <n v="11824"/>
    <n v="2.24E-2"/>
    <x v="126"/>
    <n v="1.3647276084949216"/>
    <n v="4"/>
    <x v="1"/>
    <x v="2"/>
    <x v="126"/>
    <n v="1"/>
  </r>
  <r>
    <d v="2022-07-20T00:00:00"/>
    <x v="2"/>
    <s v="Gaston"/>
    <x v="2"/>
    <s v="02PZ0307"/>
    <x v="31"/>
    <n v="33"/>
    <n v="620"/>
    <n v="8"/>
    <m/>
    <m/>
    <n v="184706"/>
    <n v="3.12"/>
    <n v="1152"/>
    <n v="25"/>
    <n v="1152"/>
    <n v="8"/>
    <n v="3.9"/>
    <s v="PP"/>
    <n v="4960"/>
    <n v="3.1199999999999999E-2"/>
    <x v="127"/>
    <n v="0.53819444444444442"/>
    <n v="4"/>
    <x v="1"/>
    <x v="2"/>
    <x v="127"/>
    <n v="1"/>
  </r>
  <r>
    <d v="2022-07-20T00:00:00"/>
    <x v="2"/>
    <m/>
    <x v="3"/>
    <s v="02PZ03200"/>
    <x v="1"/>
    <m/>
    <m/>
    <m/>
    <m/>
    <m/>
    <m/>
    <n v="0"/>
    <n v="0"/>
    <n v="0"/>
    <n v="0"/>
    <n v="0"/>
    <n v="0"/>
    <n v="0"/>
    <n v="0"/>
    <n v="0"/>
    <x v="1"/>
    <n v="0"/>
    <n v="4"/>
    <x v="1"/>
    <x v="2"/>
    <x v="1"/>
    <n v="1"/>
  </r>
  <r>
    <d v="2022-07-20T00:00:00"/>
    <x v="2"/>
    <s v="Lautaro"/>
    <x v="4"/>
    <s v="02PZ0305"/>
    <x v="12"/>
    <n v="31"/>
    <n v="951"/>
    <n v="7"/>
    <m/>
    <m/>
    <n v="184706"/>
    <n v="5"/>
    <n v="720"/>
    <n v="40"/>
    <n v="724"/>
    <n v="8"/>
    <n v="6.2"/>
    <s v="PP"/>
    <n v="6657"/>
    <n v="4.3400000000000001E-2"/>
    <x v="128"/>
    <n v="1.3135359116022098"/>
    <n v="4"/>
    <x v="1"/>
    <x v="2"/>
    <x v="128"/>
    <n v="1"/>
  </r>
  <r>
    <d v="2022-07-19T00:00:00"/>
    <x v="0"/>
    <s v="Matias"/>
    <x v="0"/>
    <s v="02PZ0302"/>
    <x v="0"/>
    <n v="35"/>
    <n v="720"/>
    <n v="1"/>
    <n v="0"/>
    <m/>
    <n v="184706"/>
    <n v="48"/>
    <n v="75"/>
    <n v="48"/>
    <n v="600"/>
    <n v="1"/>
    <n v="105"/>
    <s v="PP"/>
    <n v="720"/>
    <n v="0.105"/>
    <x v="30"/>
    <n v="1.2"/>
    <n v="3"/>
    <x v="1"/>
    <x v="2"/>
    <x v="30"/>
    <n v="1"/>
  </r>
  <r>
    <d v="2022-07-19T00:00:00"/>
    <x v="0"/>
    <s v="Matias"/>
    <x v="1"/>
    <s v="02PZ0304"/>
    <x v="27"/>
    <n v="28"/>
    <n v="800"/>
    <n v="8"/>
    <n v="0"/>
    <m/>
    <n v="184706"/>
    <n v="2.25"/>
    <n v="1596"/>
    <n v="27"/>
    <n v="1083"/>
    <n v="12"/>
    <n v="2.8"/>
    <s v="PP"/>
    <n v="6400"/>
    <n v="2.24E-2"/>
    <x v="129"/>
    <n v="0.73868882733148666"/>
    <n v="3"/>
    <x v="1"/>
    <x v="2"/>
    <x v="129"/>
    <n v="1"/>
  </r>
  <r>
    <d v="2022-07-19T00:00:00"/>
    <x v="0"/>
    <s v="Brian"/>
    <x v="3"/>
    <s v="02PZ03402"/>
    <x v="28"/>
    <m/>
    <n v="0"/>
    <n v="0"/>
    <n v="0"/>
    <m/>
    <n v="0"/>
    <n v="0"/>
    <n v="0"/>
    <n v="0"/>
    <n v="0"/>
    <n v="0"/>
    <n v="0"/>
    <n v="0"/>
    <n v="0"/>
    <n v="0"/>
    <x v="1"/>
    <n v="0"/>
    <n v="3"/>
    <x v="1"/>
    <x v="2"/>
    <x v="1"/>
    <n v="1"/>
  </r>
  <r>
    <d v="2022-07-19T00:00:00"/>
    <x v="0"/>
    <s v="Brian"/>
    <x v="3"/>
    <s v="02PZ0301"/>
    <x v="29"/>
    <n v="36"/>
    <n v="91"/>
    <n v="1"/>
    <n v="3"/>
    <m/>
    <n v="184706"/>
    <n v="51"/>
    <n v="71"/>
    <n v="51"/>
    <n v="600"/>
    <n v="1"/>
    <n v="120"/>
    <s v="PP"/>
    <n v="88"/>
    <n v="0.12"/>
    <x v="130"/>
    <n v="0.15166666666666667"/>
    <n v="3"/>
    <x v="1"/>
    <x v="2"/>
    <x v="130"/>
    <n v="1"/>
  </r>
  <r>
    <d v="2022-07-19T00:00:00"/>
    <x v="1"/>
    <s v="Julian"/>
    <x v="0"/>
    <s v="02PZ0302"/>
    <x v="0"/>
    <n v="39"/>
    <n v="695"/>
    <n v="1"/>
    <n v="25"/>
    <n v="0"/>
    <n v="184706"/>
    <n v="48"/>
    <n v="75"/>
    <n v="48"/>
    <n v="600"/>
    <n v="1"/>
    <n v="105"/>
    <s v="PP"/>
    <n v="670"/>
    <n v="0.105"/>
    <x v="131"/>
    <n v="1.1583333333333334"/>
    <n v="3"/>
    <x v="1"/>
    <x v="2"/>
    <x v="131"/>
    <n v="1"/>
  </r>
  <r>
    <d v="2022-07-19T00:00:00"/>
    <x v="1"/>
    <s v="Julian"/>
    <x v="2"/>
    <s v="02PZ0307"/>
    <x v="31"/>
    <n v="32"/>
    <n v="814"/>
    <n v="8"/>
    <n v="0"/>
    <n v="0"/>
    <n v="184706"/>
    <n v="3.12"/>
    <n v="1152"/>
    <n v="25"/>
    <n v="1152"/>
    <n v="8"/>
    <n v="3.9"/>
    <s v="PP"/>
    <n v="6512"/>
    <n v="3.1199999999999999E-2"/>
    <x v="132"/>
    <n v="0.70659722222222221"/>
    <n v="3"/>
    <x v="1"/>
    <x v="2"/>
    <x v="132"/>
    <n v="1"/>
  </r>
  <r>
    <d v="2022-07-19T00:00:00"/>
    <x v="1"/>
    <s v="Gustavo"/>
    <x v="1"/>
    <s v="02PZ0304"/>
    <x v="27"/>
    <n v="29.4"/>
    <n v="755"/>
    <n v="8"/>
    <m/>
    <m/>
    <n v="184706"/>
    <n v="2.25"/>
    <n v="1596"/>
    <n v="27"/>
    <n v="1083"/>
    <n v="12"/>
    <n v="2.8"/>
    <s v="PP"/>
    <n v="6040"/>
    <n v="2.24E-2"/>
    <x v="133"/>
    <n v="0.69713758079409049"/>
    <n v="3"/>
    <x v="1"/>
    <x v="2"/>
    <x v="133"/>
    <n v="1"/>
  </r>
  <r>
    <d v="2022-07-19T00:00:00"/>
    <x v="1"/>
    <s v="Gustavo"/>
    <x v="3"/>
    <s v="02PZ0311"/>
    <x v="33"/>
    <n v="51"/>
    <n v="43.3"/>
    <n v="1"/>
    <n v="11"/>
    <n v="5"/>
    <n v="184706"/>
    <n v="57.4"/>
    <n v="63"/>
    <n v="57.4"/>
    <n v="502"/>
    <n v="1"/>
    <n v="120"/>
    <s v="PP"/>
    <n v="27.299999999999997"/>
    <n v="0.12"/>
    <x v="134"/>
    <n v="8.625498007968127E-2"/>
    <n v="3"/>
    <x v="1"/>
    <x v="2"/>
    <x v="134"/>
    <n v="1"/>
  </r>
  <r>
    <d v="2022-07-19T00:00:00"/>
    <x v="2"/>
    <s v="Gustavo"/>
    <x v="4"/>
    <s v="02PZ0305"/>
    <x v="12"/>
    <n v="35.4"/>
    <n v="608"/>
    <n v="7"/>
    <m/>
    <m/>
    <n v="184706"/>
    <n v="5"/>
    <n v="720"/>
    <n v="40"/>
    <n v="724"/>
    <n v="8"/>
    <n v="6.2"/>
    <s v="PP"/>
    <n v="4256"/>
    <n v="4.3400000000000001E-2"/>
    <x v="135"/>
    <n v="0.83977900552486184"/>
    <n v="3"/>
    <x v="1"/>
    <x v="2"/>
    <x v="135"/>
    <n v="1"/>
  </r>
  <r>
    <d v="2022-07-19T00:00:00"/>
    <x v="2"/>
    <s v="Gaston"/>
    <x v="0"/>
    <s v="02PZ0302"/>
    <x v="0"/>
    <n v="40"/>
    <n v="654"/>
    <n v="1"/>
    <n v="10"/>
    <n v="5"/>
    <n v="184706"/>
    <n v="48"/>
    <n v="75"/>
    <n v="48"/>
    <n v="600"/>
    <n v="1"/>
    <n v="105"/>
    <s v="PP"/>
    <n v="639"/>
    <n v="0.105"/>
    <x v="136"/>
    <n v="1.0900000000000001"/>
    <n v="3"/>
    <x v="1"/>
    <x v="2"/>
    <x v="136"/>
    <n v="1"/>
  </r>
  <r>
    <d v="2022-07-19T00:00:00"/>
    <x v="2"/>
    <s v="Lautaro"/>
    <x v="1"/>
    <s v="02PZ0304"/>
    <x v="27"/>
    <n v="29"/>
    <n v="987"/>
    <n v="8"/>
    <m/>
    <m/>
    <n v="184706"/>
    <n v="2.25"/>
    <n v="1596"/>
    <n v="27"/>
    <n v="1083"/>
    <n v="12"/>
    <n v="2.8"/>
    <s v="PP"/>
    <n v="7896"/>
    <n v="2.24E-2"/>
    <x v="137"/>
    <n v="0.91135734072022156"/>
    <n v="3"/>
    <x v="1"/>
    <x v="2"/>
    <x v="137"/>
    <n v="1"/>
  </r>
  <r>
    <d v="2022-07-19T00:00:00"/>
    <x v="2"/>
    <s v="Gaston"/>
    <x v="2"/>
    <s v="02PZ0307"/>
    <x v="31"/>
    <n v="32"/>
    <n v="805"/>
    <n v="8"/>
    <m/>
    <m/>
    <n v="184706"/>
    <n v="3.12"/>
    <n v="1152"/>
    <n v="25"/>
    <n v="1152"/>
    <n v="8"/>
    <n v="3.9"/>
    <s v="PP"/>
    <n v="6440"/>
    <n v="3.1199999999999999E-2"/>
    <x v="138"/>
    <n v="0.69878472222222221"/>
    <n v="3"/>
    <x v="1"/>
    <x v="2"/>
    <x v="138"/>
    <n v="1"/>
  </r>
  <r>
    <d v="2022-07-19T00:00:00"/>
    <x v="2"/>
    <s v="Lautaro"/>
    <x v="4"/>
    <s v="02PZ0305"/>
    <x v="12"/>
    <n v="35"/>
    <n v="732"/>
    <n v="7"/>
    <m/>
    <m/>
    <n v="184706"/>
    <n v="5"/>
    <n v="720"/>
    <n v="40"/>
    <n v="724"/>
    <n v="8"/>
    <n v="6.2"/>
    <s v="PP"/>
    <n v="5124"/>
    <n v="4.3400000000000001E-2"/>
    <x v="139"/>
    <n v="1.011049723756906"/>
    <n v="3"/>
    <x v="1"/>
    <x v="2"/>
    <x v="139"/>
    <n v="1"/>
  </r>
  <r>
    <d v="2022-07-19T00:00:00"/>
    <x v="2"/>
    <s v="Lautaro"/>
    <x v="3"/>
    <s v="02PZ0311"/>
    <x v="33"/>
    <n v="42"/>
    <n v="511"/>
    <n v="1"/>
    <n v="9"/>
    <n v="8"/>
    <n v="184706"/>
    <n v="57.4"/>
    <n v="63"/>
    <n v="57.4"/>
    <n v="502"/>
    <n v="1"/>
    <n v="120"/>
    <s v="PP"/>
    <n v="494"/>
    <n v="0.12"/>
    <x v="140"/>
    <n v="1.0179282868525896"/>
    <n v="3"/>
    <x v="1"/>
    <x v="2"/>
    <x v="140"/>
    <n v="1"/>
  </r>
  <r>
    <d v="2022-07-18T00:00:00"/>
    <x v="0"/>
    <s v="Matias"/>
    <x v="0"/>
    <s v="02PZ0302"/>
    <x v="0"/>
    <n v="40"/>
    <n v="685"/>
    <n v="1"/>
    <n v="0"/>
    <n v="15"/>
    <n v="184706"/>
    <n v="48"/>
    <n v="75"/>
    <n v="48"/>
    <n v="600"/>
    <n v="1"/>
    <n v="105"/>
    <s v="PP"/>
    <n v="670"/>
    <n v="0.105"/>
    <x v="141"/>
    <n v="1.1416666666666666"/>
    <n v="2"/>
    <x v="1"/>
    <x v="2"/>
    <x v="141"/>
    <n v="1"/>
  </r>
  <r>
    <d v="2022-07-18T00:00:00"/>
    <x v="0"/>
    <s v="Matias"/>
    <x v="1"/>
    <s v="02PZ0304"/>
    <x v="27"/>
    <n v="32"/>
    <n v="840"/>
    <n v="8"/>
    <n v="0"/>
    <n v="0"/>
    <n v="184706"/>
    <n v="2.25"/>
    <n v="1596"/>
    <n v="27"/>
    <n v="1083"/>
    <n v="12"/>
    <n v="2.8"/>
    <s v="PP"/>
    <n v="6720"/>
    <n v="2.24E-2"/>
    <x v="142"/>
    <n v="0.77562326869806097"/>
    <n v="2"/>
    <x v="1"/>
    <x v="2"/>
    <x v="142"/>
    <n v="1"/>
  </r>
  <r>
    <d v="2022-07-18T00:00:00"/>
    <x v="0"/>
    <s v="Brian"/>
    <x v="2"/>
    <s v="02PZ0307"/>
    <x v="31"/>
    <n v="32"/>
    <n v="800"/>
    <n v="8"/>
    <n v="0"/>
    <n v="0"/>
    <n v="184706"/>
    <n v="3.12"/>
    <n v="1152"/>
    <n v="25"/>
    <n v="1152"/>
    <n v="8"/>
    <n v="3.9"/>
    <s v="PP"/>
    <n v="6400"/>
    <n v="3.1199999999999999E-2"/>
    <x v="143"/>
    <n v="0.69444444444444442"/>
    <n v="2"/>
    <x v="1"/>
    <x v="2"/>
    <x v="143"/>
    <n v="1"/>
  </r>
  <r>
    <d v="2022-07-18T00:00:00"/>
    <x v="0"/>
    <s v="Brian"/>
    <x v="3"/>
    <s v="02PZ0311"/>
    <x v="33"/>
    <n v="40"/>
    <n v="540"/>
    <n v="1"/>
    <n v="6"/>
    <n v="20"/>
    <n v="184706"/>
    <n v="57.4"/>
    <n v="63"/>
    <n v="57.4"/>
    <n v="502"/>
    <n v="1"/>
    <n v="120"/>
    <s v="PP"/>
    <n v="514"/>
    <n v="0.12"/>
    <x v="144"/>
    <n v="1.0756972111553784"/>
    <n v="2"/>
    <x v="1"/>
    <x v="2"/>
    <x v="144"/>
    <n v="1"/>
  </r>
  <r>
    <d v="2022-07-18T00:00:00"/>
    <x v="0"/>
    <s v="Matias"/>
    <x v="4"/>
    <s v="02PZ0305"/>
    <x v="12"/>
    <n v="35"/>
    <n v="730"/>
    <n v="7"/>
    <n v="0"/>
    <n v="0"/>
    <n v="184706"/>
    <n v="5"/>
    <n v="720"/>
    <n v="40"/>
    <n v="724"/>
    <n v="8"/>
    <n v="6.2"/>
    <s v="PP"/>
    <n v="5110"/>
    <n v="4.3400000000000001E-2"/>
    <x v="145"/>
    <n v="1.0082872928176796"/>
    <n v="2"/>
    <x v="1"/>
    <x v="2"/>
    <x v="145"/>
    <n v="1"/>
  </r>
  <r>
    <d v="2022-07-18T00:00:00"/>
    <x v="1"/>
    <s v="Gaston"/>
    <x v="0"/>
    <s v="02PZ0302"/>
    <x v="0"/>
    <n v="59"/>
    <n v="320"/>
    <n v="1"/>
    <n v="10"/>
    <n v="5"/>
    <n v="184706"/>
    <n v="48"/>
    <n v="75"/>
    <n v="48"/>
    <n v="600"/>
    <n v="1"/>
    <n v="105"/>
    <s v="PP"/>
    <n v="305"/>
    <n v="0.105"/>
    <x v="146"/>
    <n v="0.53333333333333333"/>
    <n v="2"/>
    <x v="1"/>
    <x v="2"/>
    <x v="146"/>
    <n v="1"/>
  </r>
  <r>
    <d v="2022-07-18T00:00:00"/>
    <x v="1"/>
    <s v="Gustavo"/>
    <x v="1"/>
    <s v="02PZ0304"/>
    <x v="27"/>
    <n v="31"/>
    <n v="33"/>
    <n v="8"/>
    <m/>
    <n v="150"/>
    <n v="184706"/>
    <n v="2.25"/>
    <n v="1596"/>
    <n v="27"/>
    <n v="1083"/>
    <n v="12"/>
    <n v="2.8"/>
    <s v="PP"/>
    <n v="114"/>
    <n v="2.24E-2"/>
    <x v="147"/>
    <n v="3.0470914127423823E-2"/>
    <n v="2"/>
    <x v="1"/>
    <x v="2"/>
    <x v="147"/>
    <n v="1"/>
  </r>
  <r>
    <d v="2022-07-18T00:00:00"/>
    <x v="1"/>
    <s v="Gaston"/>
    <x v="2"/>
    <s v="02PZ0307"/>
    <x v="31"/>
    <n v="44"/>
    <n v="153"/>
    <n v="8"/>
    <m/>
    <n v="100"/>
    <n v="184706"/>
    <n v="3.12"/>
    <n v="1152"/>
    <n v="25"/>
    <n v="1152"/>
    <n v="8"/>
    <n v="3.9"/>
    <s v="PP"/>
    <n v="1124"/>
    <n v="3.1199999999999999E-2"/>
    <x v="148"/>
    <n v="0.1328125"/>
    <n v="2"/>
    <x v="1"/>
    <x v="2"/>
    <x v="148"/>
    <n v="1"/>
  </r>
  <r>
    <d v="2022-07-18T00:00:00"/>
    <x v="1"/>
    <s v="Gustavo"/>
    <x v="3"/>
    <s v="02PZ0311"/>
    <x v="33"/>
    <n v="51"/>
    <n v="300"/>
    <n v="1"/>
    <n v="20"/>
    <n v="10"/>
    <n v="184706"/>
    <n v="57.4"/>
    <n v="63"/>
    <n v="57.4"/>
    <n v="502"/>
    <n v="1"/>
    <n v="120"/>
    <s v="PP"/>
    <n v="270"/>
    <n v="0.12"/>
    <x v="149"/>
    <n v="0.59760956175298807"/>
    <n v="2"/>
    <x v="1"/>
    <x v="2"/>
    <x v="149"/>
    <n v="1"/>
  </r>
  <r>
    <d v="2022-07-18T00:00:00"/>
    <x v="1"/>
    <s v="Gustavo"/>
    <x v="4"/>
    <s v="02PZ0305"/>
    <x v="12"/>
    <n v="80"/>
    <n v="345"/>
    <n v="7"/>
    <m/>
    <n v="200"/>
    <n v="184706"/>
    <n v="5"/>
    <n v="720"/>
    <n v="40"/>
    <n v="724"/>
    <n v="8"/>
    <n v="6.2"/>
    <s v="PP"/>
    <n v="2215"/>
    <n v="4.3400000000000001E-2"/>
    <x v="150"/>
    <n v="0.47651933701657456"/>
    <n v="2"/>
    <x v="1"/>
    <x v="2"/>
    <x v="150"/>
    <n v="1"/>
  </r>
  <r>
    <d v="2022-07-18T00:00:00"/>
    <x v="2"/>
    <s v="Julian"/>
    <x v="0"/>
    <s v="02PZ0302"/>
    <x v="0"/>
    <n v="38"/>
    <n v="696"/>
    <n v="1"/>
    <n v="40"/>
    <n v="0"/>
    <n v="184706"/>
    <n v="48"/>
    <n v="75"/>
    <n v="48"/>
    <n v="600"/>
    <n v="1"/>
    <n v="105"/>
    <s v="PP"/>
    <n v="656"/>
    <n v="0.105"/>
    <x v="151"/>
    <n v="1.1599999999999999"/>
    <n v="2"/>
    <x v="1"/>
    <x v="2"/>
    <x v="151"/>
    <n v="1"/>
  </r>
  <r>
    <d v="2022-07-18T00:00:00"/>
    <x v="2"/>
    <s v="Lautaro"/>
    <x v="1"/>
    <s v="02PZ0304"/>
    <x v="27"/>
    <n v="35"/>
    <n v="774"/>
    <n v="8"/>
    <n v="0"/>
    <n v="0"/>
    <n v="184706"/>
    <n v="2.25"/>
    <n v="1596"/>
    <n v="27"/>
    <n v="1083"/>
    <n v="12"/>
    <n v="2.8"/>
    <s v="PP"/>
    <n v="6192"/>
    <n v="2.24E-2"/>
    <x v="152"/>
    <n v="0.71468144044321325"/>
    <n v="2"/>
    <x v="1"/>
    <x v="2"/>
    <x v="152"/>
    <n v="1"/>
  </r>
  <r>
    <d v="2022-07-18T00:00:00"/>
    <x v="2"/>
    <s v="Julian"/>
    <x v="2"/>
    <s v="02PZ0307"/>
    <x v="31"/>
    <n v="27"/>
    <n v="914"/>
    <n v="8"/>
    <n v="8"/>
    <n v="0"/>
    <n v="184706"/>
    <n v="3.12"/>
    <n v="1152"/>
    <n v="25"/>
    <n v="1152"/>
    <n v="8"/>
    <n v="3.9"/>
    <s v="PP"/>
    <n v="7304"/>
    <n v="3.1199999999999999E-2"/>
    <x v="153"/>
    <n v="0.79340277777777779"/>
    <n v="2"/>
    <x v="1"/>
    <x v="2"/>
    <x v="153"/>
    <n v="1"/>
  </r>
  <r>
    <d v="2022-07-18T00:00:00"/>
    <x v="2"/>
    <s v="Lucas"/>
    <x v="3"/>
    <s v="02PZ0311"/>
    <x v="33"/>
    <n v="51"/>
    <n v="446"/>
    <n v="1"/>
    <n v="0"/>
    <n v="0"/>
    <n v="184706"/>
    <n v="57.4"/>
    <n v="63"/>
    <n v="57.4"/>
    <n v="502"/>
    <n v="1"/>
    <n v="120"/>
    <s v="PP"/>
    <n v="446"/>
    <n v="0.12"/>
    <x v="154"/>
    <n v="0.88844621513944222"/>
    <n v="2"/>
    <x v="1"/>
    <x v="2"/>
    <x v="154"/>
    <n v="1"/>
  </r>
  <r>
    <d v="2022-07-18T00:00:00"/>
    <x v="2"/>
    <s v="Lucas"/>
    <x v="4"/>
    <s v="02PZ0305"/>
    <x v="12"/>
    <n v="40"/>
    <n v="658"/>
    <n v="7"/>
    <n v="0"/>
    <n v="0"/>
    <n v="184706"/>
    <n v="5"/>
    <n v="720"/>
    <n v="40"/>
    <n v="724"/>
    <n v="8"/>
    <n v="6.2"/>
    <s v="PP"/>
    <n v="4606"/>
    <n v="4.3400000000000001E-2"/>
    <x v="155"/>
    <n v="0.90883977900552482"/>
    <n v="2"/>
    <x v="1"/>
    <x v="2"/>
    <x v="155"/>
    <n v="1"/>
  </r>
  <r>
    <d v="2022-07-15T00:00:00"/>
    <x v="0"/>
    <s v="Matias"/>
    <x v="0"/>
    <s v="02PZ0302"/>
    <x v="0"/>
    <n v="35"/>
    <n v="650"/>
    <n v="1"/>
    <m/>
    <n v="30"/>
    <n v="184706"/>
    <n v="48"/>
    <n v="75"/>
    <n v="48"/>
    <n v="600"/>
    <n v="1"/>
    <n v="105"/>
    <s v="PP"/>
    <n v="620"/>
    <n v="0.105"/>
    <x v="156"/>
    <n v="1.0833333333333333"/>
    <n v="6"/>
    <x v="1"/>
    <x v="3"/>
    <x v="156"/>
    <n v="1"/>
  </r>
  <r>
    <d v="2022-07-15T00:00:00"/>
    <x v="0"/>
    <s v="Matias"/>
    <x v="1"/>
    <s v="02PZ0304"/>
    <x v="27"/>
    <n v="25"/>
    <n v="1100"/>
    <n v="1"/>
    <n v="0"/>
    <n v="0"/>
    <n v="184706"/>
    <n v="2.25"/>
    <n v="1596"/>
    <n v="27"/>
    <n v="1083"/>
    <n v="12"/>
    <n v="2.8"/>
    <s v="PP"/>
    <n v="1100"/>
    <n v="2.8E-3"/>
    <x v="49"/>
    <n v="1.0156971375807942"/>
    <n v="6"/>
    <x v="1"/>
    <x v="3"/>
    <x v="49"/>
    <n v="1"/>
  </r>
  <r>
    <d v="2022-07-15T00:00:00"/>
    <x v="0"/>
    <s v="Brian"/>
    <x v="2"/>
    <s v="02PZ0307"/>
    <x v="31"/>
    <n v="0"/>
    <n v="120"/>
    <n v="1"/>
    <n v="0"/>
    <n v="5"/>
    <n v="184706"/>
    <n v="3.12"/>
    <n v="1152"/>
    <n v="25"/>
    <n v="1152"/>
    <n v="8"/>
    <n v="3.9"/>
    <s v="PP"/>
    <n v="115"/>
    <n v="3.8999999999999998E-3"/>
    <x v="1"/>
    <n v="0.10416666666666667"/>
    <n v="6"/>
    <x v="1"/>
    <x v="3"/>
    <x v="1"/>
    <n v="1"/>
  </r>
  <r>
    <d v="2022-07-15T00:00:00"/>
    <x v="0"/>
    <s v="Brian"/>
    <x v="2"/>
    <s v="02PZ0315"/>
    <x v="34"/>
    <n v="36"/>
    <n v="212"/>
    <n v="1"/>
    <n v="2"/>
    <n v="3"/>
    <n v="184706"/>
    <n v="35"/>
    <n v="103"/>
    <n v="35"/>
    <n v="824"/>
    <n v="1"/>
    <n v="65"/>
    <s v="PP"/>
    <n v="207"/>
    <n v="6.5000000000000002E-2"/>
    <x v="157"/>
    <n v="0.25728155339805825"/>
    <n v="6"/>
    <x v="1"/>
    <x v="3"/>
    <x v="157"/>
    <n v="1"/>
  </r>
  <r>
    <d v="2022-07-15T00:00:00"/>
    <x v="0"/>
    <s v="Brian"/>
    <x v="3"/>
    <s v="02PZ0311"/>
    <x v="33"/>
    <n v="38"/>
    <n v="5"/>
    <n v="1"/>
    <n v="2"/>
    <n v="1"/>
    <n v="184706"/>
    <n v="57.4"/>
    <n v="63"/>
    <n v="57.4"/>
    <n v="502"/>
    <n v="1"/>
    <n v="120"/>
    <s v="PP"/>
    <n v="2"/>
    <n v="0.12"/>
    <x v="158"/>
    <n v="9.9601593625498006E-3"/>
    <n v="6"/>
    <x v="1"/>
    <x v="3"/>
    <x v="158"/>
    <n v="1"/>
  </r>
  <r>
    <d v="2022-07-15T00:00:00"/>
    <x v="0"/>
    <s v="Brian"/>
    <x v="3"/>
    <s v="02PZ0301"/>
    <x v="29"/>
    <n v="38"/>
    <n v="512"/>
    <n v="1"/>
    <n v="4"/>
    <n v="3"/>
    <n v="184706"/>
    <n v="51"/>
    <n v="71"/>
    <n v="51"/>
    <n v="600"/>
    <n v="1"/>
    <n v="120"/>
    <s v="PP"/>
    <n v="505"/>
    <n v="0.12"/>
    <x v="159"/>
    <n v="0.85333333333333339"/>
    <n v="6"/>
    <x v="1"/>
    <x v="3"/>
    <x v="159"/>
    <n v="1"/>
  </r>
  <r>
    <d v="2022-07-15T00:00:00"/>
    <x v="0"/>
    <s v="Matias"/>
    <x v="4"/>
    <s v="02PZ0305"/>
    <x v="12"/>
    <n v="35"/>
    <n v="800"/>
    <n v="1"/>
    <m/>
    <m/>
    <n v="184706"/>
    <n v="5"/>
    <n v="720"/>
    <n v="40"/>
    <n v="724"/>
    <n v="8"/>
    <n v="6.2"/>
    <s v="PP"/>
    <n v="800"/>
    <n v="6.1999999999999998E-3"/>
    <x v="36"/>
    <n v="1.1049723756906078"/>
    <n v="6"/>
    <x v="1"/>
    <x v="3"/>
    <x v="36"/>
    <n v="1"/>
  </r>
  <r>
    <d v="2022-07-15T00:00:00"/>
    <x v="1"/>
    <s v="Julian"/>
    <x v="0"/>
    <s v="02PZ03405"/>
    <x v="6"/>
    <m/>
    <m/>
    <m/>
    <m/>
    <m/>
    <m/>
    <n v="0"/>
    <n v="0"/>
    <n v="0"/>
    <n v="0"/>
    <n v="0"/>
    <n v="0"/>
    <n v="0"/>
    <n v="0"/>
    <n v="0"/>
    <x v="1"/>
    <n v="0"/>
    <n v="6"/>
    <x v="1"/>
    <x v="3"/>
    <x v="1"/>
    <n v="0"/>
  </r>
  <r>
    <d v="2022-07-15T00:00:00"/>
    <x v="1"/>
    <s v="Julian"/>
    <x v="1"/>
    <s v="02PZ03405"/>
    <x v="6"/>
    <m/>
    <m/>
    <m/>
    <m/>
    <m/>
    <m/>
    <n v="0"/>
    <n v="0"/>
    <n v="0"/>
    <n v="0"/>
    <n v="0"/>
    <n v="0"/>
    <n v="0"/>
    <n v="0"/>
    <n v="0"/>
    <x v="1"/>
    <n v="0"/>
    <n v="6"/>
    <x v="1"/>
    <x v="3"/>
    <x v="1"/>
    <n v="0"/>
  </r>
  <r>
    <d v="2022-07-15T00:00:00"/>
    <x v="1"/>
    <s v="Julian"/>
    <x v="2"/>
    <s v="02PZ0315"/>
    <x v="34"/>
    <n v="40"/>
    <n v="530"/>
    <n v="1"/>
    <n v="20"/>
    <n v="0"/>
    <n v="184706"/>
    <n v="35"/>
    <n v="103"/>
    <n v="35"/>
    <n v="824"/>
    <n v="1"/>
    <n v="65"/>
    <s v="PP"/>
    <n v="510"/>
    <n v="6.5000000000000002E-2"/>
    <x v="160"/>
    <n v="0.64320388349514568"/>
    <n v="6"/>
    <x v="1"/>
    <x v="3"/>
    <x v="160"/>
    <n v="1"/>
  </r>
  <r>
    <d v="2022-07-15T00:00:00"/>
    <x v="1"/>
    <s v="Julian"/>
    <x v="3"/>
    <s v="02PZ0301"/>
    <x v="29"/>
    <n v="49"/>
    <n v="683"/>
    <n v="1"/>
    <n v="0"/>
    <n v="0"/>
    <n v="184706"/>
    <n v="51"/>
    <n v="71"/>
    <n v="51"/>
    <n v="600"/>
    <n v="1"/>
    <n v="120"/>
    <s v="PP"/>
    <n v="683"/>
    <n v="0.12"/>
    <x v="161"/>
    <n v="1.1383333333333334"/>
    <n v="6"/>
    <x v="1"/>
    <x v="3"/>
    <x v="161"/>
    <n v="1"/>
  </r>
  <r>
    <d v="2022-07-15T00:00:00"/>
    <x v="1"/>
    <s v="Julian"/>
    <x v="4"/>
    <s v="02PZ0305"/>
    <x v="12"/>
    <n v="40"/>
    <n v="600"/>
    <n v="1"/>
    <n v="0"/>
    <n v="0"/>
    <n v="184706"/>
    <n v="5"/>
    <n v="720"/>
    <n v="40"/>
    <n v="724"/>
    <n v="8"/>
    <n v="6.2"/>
    <s v="PP"/>
    <n v="600"/>
    <n v="6.1999999999999998E-3"/>
    <x v="162"/>
    <n v="0.82872928176795579"/>
    <n v="6"/>
    <x v="1"/>
    <x v="3"/>
    <x v="162"/>
    <n v="1"/>
  </r>
  <r>
    <d v="2022-07-15T00:00:00"/>
    <x v="2"/>
    <s v="Lautaro"/>
    <x v="0"/>
    <s v="02PZ03403"/>
    <x v="8"/>
    <m/>
    <m/>
    <m/>
    <m/>
    <m/>
    <m/>
    <n v="0"/>
    <n v="0"/>
    <n v="0"/>
    <n v="0"/>
    <n v="0"/>
    <n v="0"/>
    <n v="0"/>
    <n v="0"/>
    <n v="0"/>
    <x v="1"/>
    <n v="0"/>
    <n v="6"/>
    <x v="1"/>
    <x v="3"/>
    <x v="1"/>
    <n v="1"/>
  </r>
  <r>
    <d v="2022-07-15T00:00:00"/>
    <x v="2"/>
    <s v="Lucas"/>
    <x v="2"/>
    <s v="02PZ0315"/>
    <x v="34"/>
    <n v="45"/>
    <n v="621"/>
    <n v="1"/>
    <m/>
    <n v="5"/>
    <n v="184706"/>
    <n v="35"/>
    <n v="103"/>
    <n v="35"/>
    <n v="824"/>
    <n v="1"/>
    <n v="65"/>
    <s v="PP"/>
    <n v="616"/>
    <n v="6.5000000000000002E-2"/>
    <x v="163"/>
    <n v="0.75364077669902918"/>
    <n v="6"/>
    <x v="1"/>
    <x v="3"/>
    <x v="163"/>
    <n v="1"/>
  </r>
  <r>
    <d v="2022-07-15T00:00:00"/>
    <x v="2"/>
    <s v="Gaston"/>
    <x v="0"/>
    <s v="02PZ0302"/>
    <x v="0"/>
    <n v="30"/>
    <n v="595"/>
    <n v="1"/>
    <n v="5"/>
    <n v="2"/>
    <n v="184706"/>
    <n v="48"/>
    <n v="75"/>
    <n v="48"/>
    <n v="600"/>
    <n v="1"/>
    <n v="105"/>
    <s v="PP"/>
    <n v="588"/>
    <n v="0.105"/>
    <x v="164"/>
    <n v="0.9916666666666667"/>
    <n v="6"/>
    <x v="1"/>
    <x v="3"/>
    <x v="164"/>
    <n v="1"/>
  </r>
  <r>
    <d v="2022-07-15T00:00:00"/>
    <x v="2"/>
    <s v="Lautaro"/>
    <x v="1"/>
    <s v="02PZ0304"/>
    <x v="27"/>
    <n v="25"/>
    <n v="1035"/>
    <n v="8"/>
    <m/>
    <n v="200"/>
    <n v="184706"/>
    <n v="2.25"/>
    <n v="1596"/>
    <n v="27"/>
    <n v="1083"/>
    <n v="12"/>
    <n v="2.8"/>
    <s v="PP"/>
    <n v="8080"/>
    <n v="2.24E-2"/>
    <x v="165"/>
    <n v="0.95567867036011078"/>
    <n v="6"/>
    <x v="1"/>
    <x v="3"/>
    <x v="165"/>
    <n v="1"/>
  </r>
  <r>
    <d v="2022-07-15T00:00:00"/>
    <x v="2"/>
    <m/>
    <x v="4"/>
    <s v="02PZ03200"/>
    <x v="1"/>
    <m/>
    <m/>
    <m/>
    <m/>
    <m/>
    <m/>
    <n v="0"/>
    <n v="0"/>
    <n v="0"/>
    <n v="0"/>
    <n v="0"/>
    <n v="0"/>
    <n v="0"/>
    <n v="0"/>
    <n v="0"/>
    <x v="1"/>
    <n v="0"/>
    <n v="6"/>
    <x v="1"/>
    <x v="3"/>
    <x v="1"/>
    <n v="1"/>
  </r>
  <r>
    <d v="2022-07-15T00:00:00"/>
    <x v="2"/>
    <s v="Lucas"/>
    <x v="3"/>
    <s v="02PZ0301"/>
    <x v="29"/>
    <n v="37"/>
    <n v="505"/>
    <n v="1"/>
    <n v="15"/>
    <n v="5"/>
    <n v="184706"/>
    <n v="51"/>
    <n v="71"/>
    <n v="51"/>
    <n v="600"/>
    <n v="1"/>
    <n v="120"/>
    <s v="PP"/>
    <n v="485"/>
    <n v="0.12"/>
    <x v="166"/>
    <n v="0.84166666666666667"/>
    <n v="6"/>
    <x v="1"/>
    <x v="3"/>
    <x v="166"/>
    <n v="1"/>
  </r>
  <r>
    <d v="2022-07-14T00:00:00"/>
    <x v="0"/>
    <s v="Matias"/>
    <x v="0"/>
    <s v="02PZ0302"/>
    <x v="0"/>
    <n v="35.700000000000003"/>
    <n v="765"/>
    <n v="1"/>
    <n v="0"/>
    <n v="15"/>
    <n v="184706"/>
    <n v="48"/>
    <n v="75"/>
    <n v="48"/>
    <n v="600"/>
    <n v="1"/>
    <n v="105"/>
    <s v="PP"/>
    <n v="750"/>
    <n v="0.105"/>
    <x v="167"/>
    <n v="1.2749999999999999"/>
    <n v="5"/>
    <x v="1"/>
    <x v="3"/>
    <x v="167"/>
    <n v="1"/>
  </r>
  <r>
    <d v="2022-07-14T00:00:00"/>
    <x v="0"/>
    <s v="Matias"/>
    <x v="1"/>
    <s v="02PZ0304"/>
    <x v="27"/>
    <n v="25"/>
    <n v="1100"/>
    <n v="8"/>
    <n v="0"/>
    <n v="0"/>
    <n v="184706"/>
    <n v="2.25"/>
    <n v="1596"/>
    <n v="27"/>
    <n v="1083"/>
    <n v="12"/>
    <n v="2.8"/>
    <s v="PP"/>
    <n v="8800"/>
    <n v="2.24E-2"/>
    <x v="49"/>
    <n v="1.0156971375807942"/>
    <n v="5"/>
    <x v="1"/>
    <x v="3"/>
    <x v="49"/>
    <n v="1"/>
  </r>
  <r>
    <d v="2022-07-14T00:00:00"/>
    <x v="0"/>
    <s v="Brian"/>
    <x v="2"/>
    <s v="02PZ0315"/>
    <x v="34"/>
    <n v="31.3"/>
    <n v="832"/>
    <n v="1"/>
    <n v="0"/>
    <n v="12"/>
    <n v="184706"/>
    <n v="35"/>
    <n v="103"/>
    <n v="35"/>
    <n v="824"/>
    <n v="1"/>
    <n v="65"/>
    <s v="PP"/>
    <n v="820"/>
    <n v="6.5000000000000002E-2"/>
    <x v="168"/>
    <n v="1.0097087378640777"/>
    <n v="5"/>
    <x v="1"/>
    <x v="3"/>
    <x v="168"/>
    <n v="1"/>
  </r>
  <r>
    <d v="2022-07-14T00:00:00"/>
    <x v="0"/>
    <s v="Brian"/>
    <x v="3"/>
    <s v="02PZ0301"/>
    <x v="29"/>
    <n v="39.6"/>
    <n v="650"/>
    <n v="1"/>
    <n v="0"/>
    <n v="20"/>
    <n v="184706"/>
    <n v="51"/>
    <n v="71"/>
    <n v="51"/>
    <n v="600"/>
    <n v="1"/>
    <n v="120"/>
    <s v="PP"/>
    <n v="630"/>
    <n v="0.12"/>
    <x v="169"/>
    <n v="1.0833333333333333"/>
    <n v="5"/>
    <x v="1"/>
    <x v="3"/>
    <x v="169"/>
    <n v="1"/>
  </r>
  <r>
    <d v="2022-07-14T00:00:00"/>
    <x v="0"/>
    <s v="Matias"/>
    <x v="4"/>
    <s v="02PZ03403"/>
    <x v="8"/>
    <m/>
    <m/>
    <m/>
    <m/>
    <m/>
    <m/>
    <n v="0"/>
    <n v="0"/>
    <n v="0"/>
    <n v="0"/>
    <n v="0"/>
    <n v="0"/>
    <n v="0"/>
    <n v="0"/>
    <n v="0"/>
    <x v="1"/>
    <n v="0"/>
    <n v="5"/>
    <x v="1"/>
    <x v="3"/>
    <x v="1"/>
    <n v="1"/>
  </r>
  <r>
    <d v="2022-07-14T00:00:00"/>
    <x v="1"/>
    <s v="Gustavo"/>
    <x v="4"/>
    <s v="02PZ03403"/>
    <x v="8"/>
    <m/>
    <m/>
    <m/>
    <m/>
    <m/>
    <m/>
    <n v="0"/>
    <n v="0"/>
    <n v="0"/>
    <n v="0"/>
    <n v="0"/>
    <n v="0"/>
    <n v="0"/>
    <n v="0"/>
    <n v="0"/>
    <x v="1"/>
    <n v="0"/>
    <n v="5"/>
    <x v="1"/>
    <x v="3"/>
    <x v="1"/>
    <n v="1"/>
  </r>
  <r>
    <d v="2022-07-14T00:00:00"/>
    <x v="1"/>
    <s v="Julian"/>
    <x v="3"/>
    <s v="02PZ0301"/>
    <x v="29"/>
    <n v="46.5"/>
    <n v="431"/>
    <n v="1"/>
    <n v="2"/>
    <n v="3"/>
    <n v="184706"/>
    <n v="51"/>
    <n v="71"/>
    <n v="51"/>
    <n v="600"/>
    <n v="1"/>
    <n v="120"/>
    <s v="PP"/>
    <n v="426"/>
    <n v="0.12"/>
    <x v="170"/>
    <n v="0.71833333333333338"/>
    <n v="5"/>
    <x v="1"/>
    <x v="3"/>
    <x v="170"/>
    <n v="1"/>
  </r>
  <r>
    <d v="2022-07-14T00:00:00"/>
    <x v="1"/>
    <s v="Julian"/>
    <x v="2"/>
    <s v="02PZ0315"/>
    <x v="34"/>
    <n v="43.1"/>
    <n v="543"/>
    <n v="1"/>
    <n v="17"/>
    <n v="0"/>
    <n v="184706"/>
    <n v="35"/>
    <n v="103"/>
    <n v="35"/>
    <n v="824"/>
    <n v="1"/>
    <n v="65"/>
    <s v="PP"/>
    <n v="526"/>
    <n v="6.5000000000000002E-2"/>
    <x v="171"/>
    <n v="0.65898058252427183"/>
    <n v="5"/>
    <x v="1"/>
    <x v="3"/>
    <x v="171"/>
    <n v="1"/>
  </r>
  <r>
    <d v="2022-07-14T00:00:00"/>
    <x v="1"/>
    <s v="Lautaro"/>
    <x v="1"/>
    <s v="02PZ0304"/>
    <x v="27"/>
    <n v="25.3"/>
    <n v="907"/>
    <n v="8"/>
    <n v="0"/>
    <n v="0"/>
    <n v="184706"/>
    <n v="2.25"/>
    <n v="1596"/>
    <n v="27"/>
    <n v="1083"/>
    <n v="12"/>
    <n v="2.8"/>
    <s v="PP"/>
    <n v="7256"/>
    <n v="2.24E-2"/>
    <x v="172"/>
    <n v="0.83748845798707294"/>
    <n v="5"/>
    <x v="1"/>
    <x v="3"/>
    <x v="172"/>
    <n v="1"/>
  </r>
  <r>
    <d v="2022-07-14T00:00:00"/>
    <x v="1"/>
    <s v="Gustavo"/>
    <x v="0"/>
    <s v="02PZ0302"/>
    <x v="0"/>
    <n v="47.7"/>
    <n v="667"/>
    <n v="1"/>
    <n v="3"/>
    <n v="0"/>
    <n v="1"/>
    <n v="48"/>
    <n v="75"/>
    <n v="48"/>
    <n v="600"/>
    <n v="1"/>
    <n v="105"/>
    <s v="PP"/>
    <n v="664"/>
    <n v="0.105"/>
    <x v="173"/>
    <n v="1.1116666666666666"/>
    <n v="5"/>
    <x v="1"/>
    <x v="3"/>
    <x v="173"/>
    <n v="1"/>
  </r>
  <r>
    <d v="2022-07-05T00:00:00"/>
    <x v="0"/>
    <s v="Matias"/>
    <x v="0"/>
    <s v="02PZ0316"/>
    <x v="2"/>
    <n v="36"/>
    <n v="634"/>
    <n v="1"/>
    <m/>
    <m/>
    <n v="183471"/>
    <n v="30"/>
    <n v="120"/>
    <n v="30"/>
    <n v="960"/>
    <n v="1"/>
    <n v="20"/>
    <s v="PP"/>
    <n v="634"/>
    <n v="0.02"/>
    <x v="174"/>
    <n v="0.66041666666666665"/>
    <n v="3"/>
    <x v="1"/>
    <x v="4"/>
    <x v="174"/>
    <n v="1"/>
  </r>
  <r>
    <d v="2022-07-05T00:00:00"/>
    <x v="0"/>
    <s v="Matias"/>
    <x v="1"/>
    <s v="02PZ0303"/>
    <x v="9"/>
    <n v="31"/>
    <n v="873"/>
    <n v="6"/>
    <m/>
    <m/>
    <n v="183471"/>
    <n v="4.75"/>
    <n v="752"/>
    <n v="38"/>
    <n v="758"/>
    <n v="8"/>
    <n v="2.8"/>
    <s v="PP"/>
    <n v="5238"/>
    <n v="1.6799999999999995E-2"/>
    <x v="175"/>
    <n v="1.1517150395778364"/>
    <n v="3"/>
    <x v="1"/>
    <x v="4"/>
    <x v="175"/>
    <n v="1"/>
  </r>
  <r>
    <d v="2022-07-05T00:00:00"/>
    <x v="0"/>
    <s v="Matias"/>
    <x v="2"/>
    <s v="02PZ0321"/>
    <x v="21"/>
    <n v="53"/>
    <n v="520"/>
    <n v="1"/>
    <m/>
    <m/>
    <n v="183471"/>
    <n v="48"/>
    <n v="75"/>
    <n v="48"/>
    <n v="600"/>
    <n v="1"/>
    <n v="115"/>
    <s v="PP"/>
    <n v="520"/>
    <n v="0.115"/>
    <x v="176"/>
    <n v="0.8666666666666667"/>
    <n v="3"/>
    <x v="1"/>
    <x v="4"/>
    <x v="176"/>
    <n v="1"/>
  </r>
  <r>
    <d v="2022-07-05T00:00:00"/>
    <x v="1"/>
    <s v="Gustavo"/>
    <x v="0"/>
    <s v="02PZ03405"/>
    <x v="6"/>
    <m/>
    <m/>
    <m/>
    <m/>
    <m/>
    <m/>
    <n v="0"/>
    <n v="0"/>
    <n v="0"/>
    <n v="0"/>
    <n v="0"/>
    <n v="0"/>
    <n v="0"/>
    <n v="0"/>
    <n v="0"/>
    <x v="1"/>
    <n v="0"/>
    <n v="3"/>
    <x v="1"/>
    <x v="4"/>
    <x v="1"/>
    <n v="0"/>
  </r>
  <r>
    <d v="2022-07-05T00:00:00"/>
    <x v="1"/>
    <s v="Julian"/>
    <x v="1"/>
    <s v="02PZ0303"/>
    <x v="9"/>
    <n v="31"/>
    <n v="851"/>
    <n v="6"/>
    <m/>
    <m/>
    <n v="183471"/>
    <n v="4.75"/>
    <n v="752"/>
    <n v="38"/>
    <n v="758"/>
    <n v="8"/>
    <n v="2.8"/>
    <s v="PP"/>
    <n v="5106"/>
    <n v="1.6799999999999995E-2"/>
    <x v="177"/>
    <n v="1.1226912928759893"/>
    <n v="3"/>
    <x v="1"/>
    <x v="4"/>
    <x v="177"/>
    <n v="1"/>
  </r>
  <r>
    <d v="2022-07-05T00:00:00"/>
    <x v="1"/>
    <s v="Julian"/>
    <x v="2"/>
    <s v="02PZ0321"/>
    <x v="21"/>
    <n v="53"/>
    <n v="507"/>
    <n v="1"/>
    <m/>
    <m/>
    <n v="183471"/>
    <n v="48"/>
    <n v="75"/>
    <n v="48"/>
    <n v="600"/>
    <n v="1"/>
    <n v="115"/>
    <s v="PP"/>
    <n v="507"/>
    <n v="0.115"/>
    <x v="178"/>
    <n v="0.84499999999999997"/>
    <n v="3"/>
    <x v="1"/>
    <x v="4"/>
    <x v="178"/>
    <n v="1"/>
  </r>
  <r>
    <d v="2022-07-05T00:00:00"/>
    <x v="2"/>
    <s v="Lautaro"/>
    <x v="0"/>
    <s v="02PZ0316"/>
    <x v="2"/>
    <n v="36"/>
    <n v="764"/>
    <n v="6"/>
    <m/>
    <m/>
    <n v="183471"/>
    <n v="30"/>
    <n v="120"/>
    <n v="30"/>
    <n v="960"/>
    <n v="1"/>
    <n v="20"/>
    <s v="PP"/>
    <n v="4584"/>
    <n v="0.12"/>
    <x v="179"/>
    <n v="0.79583333333333328"/>
    <n v="3"/>
    <x v="1"/>
    <x v="4"/>
    <x v="179"/>
    <n v="1"/>
  </r>
  <r>
    <d v="2022-07-05T00:00:00"/>
    <x v="2"/>
    <s v="Lautaro"/>
    <x v="1"/>
    <s v="02PZ0303"/>
    <x v="9"/>
    <n v="31"/>
    <n v="962"/>
    <n v="6"/>
    <m/>
    <m/>
    <n v="183471"/>
    <n v="4.75"/>
    <n v="752"/>
    <n v="38"/>
    <n v="758"/>
    <n v="8"/>
    <n v="2.8"/>
    <s v="PP"/>
    <n v="5772"/>
    <n v="1.6799999999999995E-2"/>
    <x v="180"/>
    <n v="1.2691292875989446"/>
    <n v="3"/>
    <x v="1"/>
    <x v="4"/>
    <x v="180"/>
    <n v="1"/>
  </r>
  <r>
    <d v="2022-07-05T00:00:00"/>
    <x v="2"/>
    <s v="Lautaro"/>
    <x v="2"/>
    <s v="02PZ0321"/>
    <x v="21"/>
    <n v="53"/>
    <n v="528"/>
    <n v="1"/>
    <m/>
    <m/>
    <n v="183471"/>
    <n v="48"/>
    <n v="75"/>
    <n v="48"/>
    <n v="600"/>
    <n v="1"/>
    <n v="115"/>
    <s v="PP"/>
    <n v="528"/>
    <n v="0.115"/>
    <x v="181"/>
    <n v="0.88"/>
    <n v="3"/>
    <x v="1"/>
    <x v="4"/>
    <x v="181"/>
    <n v="1"/>
  </r>
  <r>
    <d v="2022-07-14T00:00:00"/>
    <x v="2"/>
    <s v="Gaston"/>
    <x v="0"/>
    <s v="02PZ0302"/>
    <x v="0"/>
    <n v="48"/>
    <n v="602"/>
    <n v="1"/>
    <n v="10"/>
    <n v="5"/>
    <n v="184706"/>
    <n v="48"/>
    <n v="75"/>
    <n v="48"/>
    <n v="600"/>
    <n v="1"/>
    <n v="105"/>
    <s v="PP"/>
    <n v="587"/>
    <n v="0.105"/>
    <x v="182"/>
    <n v="1.0033333333333334"/>
    <n v="5"/>
    <x v="1"/>
    <x v="3"/>
    <x v="182"/>
    <n v="1"/>
  </r>
  <r>
    <d v="2022-07-14T00:00:00"/>
    <x v="2"/>
    <s v="Lucas"/>
    <x v="1"/>
    <s v="02PZ03220"/>
    <x v="23"/>
    <m/>
    <m/>
    <m/>
    <m/>
    <m/>
    <m/>
    <n v="0"/>
    <n v="0"/>
    <n v="0"/>
    <n v="0"/>
    <n v="0"/>
    <n v="0"/>
    <n v="0"/>
    <n v="0"/>
    <n v="0"/>
    <x v="1"/>
    <n v="0"/>
    <n v="5"/>
    <x v="1"/>
    <x v="3"/>
    <x v="1"/>
    <n v="1"/>
  </r>
  <r>
    <d v="2022-07-14T00:00:00"/>
    <x v="2"/>
    <s v="Gaston"/>
    <x v="2"/>
    <s v="02PZ0315"/>
    <x v="34"/>
    <n v="43.6"/>
    <n v="657"/>
    <n v="1"/>
    <m/>
    <n v="30"/>
    <n v="184706"/>
    <n v="35"/>
    <n v="103"/>
    <n v="35"/>
    <n v="824"/>
    <n v="1"/>
    <n v="65"/>
    <s v="PP"/>
    <n v="627"/>
    <n v="6.5000000000000002E-2"/>
    <x v="183"/>
    <n v="0.79733009708737868"/>
    <n v="5"/>
    <x v="1"/>
    <x v="3"/>
    <x v="183"/>
    <n v="1"/>
  </r>
  <r>
    <d v="2022-07-14T00:00:00"/>
    <x v="2"/>
    <s v="Lucas"/>
    <x v="3"/>
    <s v="02PZ0301"/>
    <x v="29"/>
    <n v="51.4"/>
    <n v="569"/>
    <n v="1"/>
    <m/>
    <n v="6"/>
    <n v="184706"/>
    <n v="51"/>
    <n v="71"/>
    <n v="51"/>
    <n v="600"/>
    <n v="1"/>
    <n v="120"/>
    <s v="PP"/>
    <n v="563"/>
    <n v="0.12"/>
    <x v="184"/>
    <n v="0.94833333333333336"/>
    <n v="5"/>
    <x v="1"/>
    <x v="3"/>
    <x v="184"/>
    <n v="1"/>
  </r>
  <r>
    <d v="2022-07-14T00:00:00"/>
    <x v="2"/>
    <s v="Gaston"/>
    <x v="4"/>
    <s v="02PZ03200"/>
    <x v="1"/>
    <m/>
    <m/>
    <m/>
    <m/>
    <m/>
    <m/>
    <n v="0"/>
    <n v="0"/>
    <n v="0"/>
    <n v="0"/>
    <n v="0"/>
    <n v="0"/>
    <n v="0"/>
    <n v="0"/>
    <n v="0"/>
    <x v="1"/>
    <n v="0"/>
    <n v="5"/>
    <x v="1"/>
    <x v="3"/>
    <x v="1"/>
    <n v="1"/>
  </r>
  <r>
    <d v="2022-07-13T00:00:00"/>
    <x v="0"/>
    <s v="Matias"/>
    <x v="0"/>
    <s v="02PZ0302"/>
    <x v="0"/>
    <n v="42"/>
    <n v="782"/>
    <n v="1"/>
    <n v="0"/>
    <n v="30"/>
    <n v="184706"/>
    <n v="48"/>
    <n v="75"/>
    <n v="48"/>
    <n v="600"/>
    <n v="1"/>
    <n v="105"/>
    <s v="PP"/>
    <n v="752"/>
    <n v="0.105"/>
    <x v="185"/>
    <n v="1.3033333333333332"/>
    <n v="4"/>
    <x v="1"/>
    <x v="3"/>
    <x v="185"/>
    <n v="1"/>
  </r>
  <r>
    <d v="2022-07-13T00:00:00"/>
    <x v="0"/>
    <s v="Matias"/>
    <x v="1"/>
    <s v="02PZ03200"/>
    <x v="1"/>
    <n v="0"/>
    <n v="0"/>
    <n v="0"/>
    <n v="0"/>
    <n v="10"/>
    <n v="0"/>
    <n v="0"/>
    <n v="0"/>
    <n v="0"/>
    <n v="0"/>
    <n v="0"/>
    <n v="0"/>
    <n v="0"/>
    <n v="-10"/>
    <n v="0"/>
    <x v="1"/>
    <n v="0"/>
    <n v="4"/>
    <x v="1"/>
    <x v="3"/>
    <x v="1"/>
    <n v="1"/>
  </r>
  <r>
    <d v="2022-07-13T00:00:00"/>
    <x v="0"/>
    <s v="Brian"/>
    <x v="2"/>
    <s v="02PZ0315"/>
    <x v="34"/>
    <n v="31.6"/>
    <n v="894"/>
    <n v="1"/>
    <n v="0"/>
    <n v="10"/>
    <n v="184706"/>
    <n v="35"/>
    <n v="103"/>
    <n v="35"/>
    <n v="824"/>
    <n v="1"/>
    <n v="65"/>
    <s v="PP"/>
    <n v="884"/>
    <n v="6.5000000000000002E-2"/>
    <x v="186"/>
    <n v="1.0849514563106797"/>
    <n v="4"/>
    <x v="1"/>
    <x v="3"/>
    <x v="186"/>
    <n v="1"/>
  </r>
  <r>
    <d v="2022-07-13T00:00:00"/>
    <x v="0"/>
    <s v="Brian"/>
    <x v="3"/>
    <s v="02PZ0301"/>
    <x v="29"/>
    <n v="46.5"/>
    <n v="614"/>
    <n v="1"/>
    <n v="8"/>
    <n v="25"/>
    <n v="184706"/>
    <n v="51"/>
    <n v="71"/>
    <n v="51"/>
    <n v="600"/>
    <n v="1"/>
    <n v="120"/>
    <s v="PP"/>
    <n v="581"/>
    <n v="0.12"/>
    <x v="187"/>
    <n v="1.0233333333333334"/>
    <n v="4"/>
    <x v="1"/>
    <x v="3"/>
    <x v="187"/>
    <n v="1"/>
  </r>
  <r>
    <d v="2022-07-13T00:00:00"/>
    <x v="0"/>
    <s v="Matias"/>
    <x v="4"/>
    <s v="02PZ03200"/>
    <x v="1"/>
    <m/>
    <m/>
    <m/>
    <m/>
    <m/>
    <m/>
    <n v="0"/>
    <n v="0"/>
    <n v="0"/>
    <n v="0"/>
    <n v="0"/>
    <n v="0"/>
    <n v="0"/>
    <n v="0"/>
    <n v="0"/>
    <x v="1"/>
    <n v="0"/>
    <n v="4"/>
    <x v="1"/>
    <x v="3"/>
    <x v="1"/>
    <n v="1"/>
  </r>
  <r>
    <d v="2022-07-13T00:00:00"/>
    <x v="1"/>
    <s v="Julian"/>
    <x v="0"/>
    <s v="02PZ0302"/>
    <x v="0"/>
    <n v="49"/>
    <n v="400"/>
    <n v="1"/>
    <n v="20"/>
    <n v="5"/>
    <n v="184706"/>
    <n v="48"/>
    <n v="75"/>
    <n v="48"/>
    <n v="600"/>
    <n v="1"/>
    <n v="105"/>
    <s v="PP"/>
    <n v="375"/>
    <n v="0.105"/>
    <x v="188"/>
    <n v="0.66666666666666663"/>
    <n v="4"/>
    <x v="1"/>
    <x v="3"/>
    <x v="188"/>
    <n v="1"/>
  </r>
  <r>
    <d v="2022-07-13T00:00:00"/>
    <x v="1"/>
    <m/>
    <x v="1"/>
    <s v="02PZ03200"/>
    <x v="1"/>
    <m/>
    <m/>
    <m/>
    <m/>
    <m/>
    <m/>
    <n v="0"/>
    <n v="0"/>
    <n v="0"/>
    <n v="0"/>
    <n v="0"/>
    <n v="0"/>
    <n v="0"/>
    <n v="0"/>
    <n v="0"/>
    <x v="1"/>
    <n v="0"/>
    <n v="4"/>
    <x v="1"/>
    <x v="3"/>
    <x v="1"/>
    <n v="1"/>
  </r>
  <r>
    <d v="2022-07-13T00:00:00"/>
    <x v="1"/>
    <s v="Julian"/>
    <x v="2"/>
    <s v="02PZ0315"/>
    <x v="34"/>
    <n v="45.6"/>
    <n v="600"/>
    <n v="1"/>
    <m/>
    <n v="25"/>
    <n v="184706"/>
    <n v="35"/>
    <n v="103"/>
    <n v="35"/>
    <n v="824"/>
    <n v="1"/>
    <n v="65"/>
    <s v="PP"/>
    <n v="575"/>
    <n v="6.5000000000000002E-2"/>
    <x v="189"/>
    <n v="0.72815533980582525"/>
    <n v="4"/>
    <x v="1"/>
    <x v="3"/>
    <x v="189"/>
    <n v="1"/>
  </r>
  <r>
    <d v="2022-07-13T00:00:00"/>
    <x v="1"/>
    <s v="Gaston"/>
    <x v="3"/>
    <s v="02PZ0301"/>
    <x v="29"/>
    <n v="50"/>
    <n v="410"/>
    <n v="1"/>
    <m/>
    <n v="12"/>
    <n v="184706"/>
    <n v="51"/>
    <n v="71"/>
    <n v="51"/>
    <n v="600"/>
    <n v="1"/>
    <n v="120"/>
    <s v="PP"/>
    <n v="398"/>
    <n v="0.12"/>
    <x v="190"/>
    <n v="0.68333333333333335"/>
    <n v="4"/>
    <x v="1"/>
    <x v="3"/>
    <x v="190"/>
    <n v="1"/>
  </r>
  <r>
    <d v="2022-07-13T00:00:00"/>
    <x v="1"/>
    <m/>
    <x v="4"/>
    <s v="02PZ03200"/>
    <x v="1"/>
    <m/>
    <m/>
    <m/>
    <m/>
    <m/>
    <m/>
    <n v="0"/>
    <n v="0"/>
    <n v="0"/>
    <n v="0"/>
    <n v="0"/>
    <n v="0"/>
    <n v="0"/>
    <n v="0"/>
    <n v="0"/>
    <x v="1"/>
    <n v="0"/>
    <n v="4"/>
    <x v="1"/>
    <x v="3"/>
    <x v="1"/>
    <n v="1"/>
  </r>
  <r>
    <d v="2022-07-13T00:00:00"/>
    <x v="2"/>
    <s v="Gaston"/>
    <x v="0"/>
    <s v="02PZ0302"/>
    <x v="0"/>
    <n v="49"/>
    <n v="500"/>
    <n v="1"/>
    <n v="2"/>
    <n v="5"/>
    <n v="184706"/>
    <n v="48"/>
    <n v="75"/>
    <n v="48"/>
    <n v="600"/>
    <n v="1"/>
    <n v="105"/>
    <s v="PP"/>
    <n v="493"/>
    <n v="0.105"/>
    <x v="191"/>
    <n v="0.83333333333333337"/>
    <n v="4"/>
    <x v="1"/>
    <x v="3"/>
    <x v="191"/>
    <n v="1"/>
  </r>
  <r>
    <d v="2022-07-13T00:00:00"/>
    <x v="2"/>
    <m/>
    <x v="1"/>
    <s v="02PZ03200"/>
    <x v="1"/>
    <m/>
    <m/>
    <m/>
    <m/>
    <m/>
    <m/>
    <n v="0"/>
    <n v="0"/>
    <n v="0"/>
    <n v="0"/>
    <n v="0"/>
    <n v="0"/>
    <n v="0"/>
    <n v="0"/>
    <n v="0"/>
    <x v="1"/>
    <n v="0"/>
    <n v="4"/>
    <x v="1"/>
    <x v="3"/>
    <x v="1"/>
    <n v="1"/>
  </r>
  <r>
    <d v="2022-07-13T00:00:00"/>
    <x v="2"/>
    <s v="Gaston"/>
    <x v="2"/>
    <s v="02PZ0319"/>
    <x v="3"/>
    <n v="45.6"/>
    <n v="650"/>
    <n v="1"/>
    <m/>
    <n v="90"/>
    <n v="184706"/>
    <n v="35"/>
    <n v="103"/>
    <n v="35"/>
    <n v="824"/>
    <n v="1"/>
    <n v="65"/>
    <s v="PP"/>
    <n v="560"/>
    <n v="6.5000000000000002E-2"/>
    <x v="192"/>
    <n v="0.78883495145631066"/>
    <n v="4"/>
    <x v="1"/>
    <x v="3"/>
    <x v="192"/>
    <n v="1"/>
  </r>
  <r>
    <d v="2022-07-13T00:00:00"/>
    <x v="2"/>
    <s v="Lucas"/>
    <x v="3"/>
    <s v="02PZ0311"/>
    <x v="33"/>
    <n v="53"/>
    <n v="535"/>
    <n v="1"/>
    <n v="5"/>
    <n v="10"/>
    <n v="184706"/>
    <n v="57.4"/>
    <n v="63"/>
    <n v="57.4"/>
    <n v="502"/>
    <n v="1"/>
    <n v="120"/>
    <s v="PP"/>
    <n v="520"/>
    <n v="0.12"/>
    <x v="193"/>
    <n v="1.0657370517928286"/>
    <n v="4"/>
    <x v="1"/>
    <x v="3"/>
    <x v="193"/>
    <n v="1"/>
  </r>
  <r>
    <d v="2022-07-13T00:00:00"/>
    <x v="2"/>
    <s v="Lucas"/>
    <x v="4"/>
    <s v="02PZ0318"/>
    <x v="4"/>
    <n v="53"/>
    <n v="500"/>
    <n v="1"/>
    <m/>
    <n v="10"/>
    <n v="184706"/>
    <n v="35"/>
    <n v="103"/>
    <n v="35"/>
    <n v="824"/>
    <n v="1"/>
    <n v="110"/>
    <s v="PP"/>
    <n v="490"/>
    <n v="0.11"/>
    <x v="194"/>
    <n v="0.60679611650485432"/>
    <n v="4"/>
    <x v="1"/>
    <x v="3"/>
    <x v="194"/>
    <n v="1"/>
  </r>
  <r>
    <d v="2022-07-12T00:00:00"/>
    <x v="0"/>
    <s v="Matias"/>
    <x v="0"/>
    <s v="02PZ0302"/>
    <x v="0"/>
    <n v="40.700000000000003"/>
    <n v="550"/>
    <n v="1"/>
    <n v="0"/>
    <n v="10"/>
    <n v="184706"/>
    <n v="48"/>
    <n v="75"/>
    <n v="48"/>
    <n v="600"/>
    <n v="1"/>
    <n v="105"/>
    <s v="PP"/>
    <n v="540"/>
    <n v="0.105"/>
    <x v="195"/>
    <n v="0.91666666666666663"/>
    <n v="3"/>
    <x v="1"/>
    <x v="3"/>
    <x v="195"/>
    <n v="1"/>
  </r>
  <r>
    <d v="2022-07-12T00:00:00"/>
    <x v="0"/>
    <s v="Matias"/>
    <x v="0"/>
    <s v="02PZ03105"/>
    <x v="7"/>
    <n v="0"/>
    <n v="0"/>
    <n v="0"/>
    <n v="0"/>
    <n v="0"/>
    <n v="0"/>
    <n v="0"/>
    <n v="4"/>
    <n v="0"/>
    <n v="0"/>
    <n v="0"/>
    <n v="0"/>
    <n v="0"/>
    <n v="0"/>
    <n v="0"/>
    <x v="1"/>
    <n v="0"/>
    <n v="3"/>
    <x v="1"/>
    <x v="3"/>
    <x v="1"/>
    <n v="1"/>
  </r>
  <r>
    <d v="2022-07-12T00:00:00"/>
    <x v="0"/>
    <s v="Matias"/>
    <x v="1"/>
    <s v="02PZ0304"/>
    <x v="27"/>
    <n v="25"/>
    <n v="400"/>
    <n v="1"/>
    <n v="0"/>
    <n v="10"/>
    <n v="184706"/>
    <n v="2.25"/>
    <n v="1596"/>
    <n v="27"/>
    <n v="1083"/>
    <n v="12"/>
    <n v="2.8"/>
    <s v="PP"/>
    <n v="390"/>
    <n v="2.8E-3"/>
    <x v="196"/>
    <n v="0.36934441366574333"/>
    <n v="3"/>
    <x v="1"/>
    <x v="3"/>
    <x v="196"/>
    <n v="1"/>
  </r>
  <r>
    <d v="2022-07-12T00:00:00"/>
    <x v="0"/>
    <s v="Brian"/>
    <x v="2"/>
    <s v="02PZ0319"/>
    <x v="3"/>
    <n v="33"/>
    <n v="822"/>
    <n v="1"/>
    <n v="0"/>
    <n v="10"/>
    <n v="184706"/>
    <n v="35"/>
    <n v="103"/>
    <n v="35"/>
    <n v="824"/>
    <n v="1"/>
    <n v="65"/>
    <s v="PP"/>
    <n v="812"/>
    <n v="6.5000000000000002E-2"/>
    <x v="197"/>
    <n v="0.99757281553398058"/>
    <n v="3"/>
    <x v="1"/>
    <x v="3"/>
    <x v="197"/>
    <n v="1"/>
  </r>
  <r>
    <d v="2022-07-12T00:00:00"/>
    <x v="0"/>
    <s v="Brian"/>
    <x v="3"/>
    <s v="02PZ0301"/>
    <x v="29"/>
    <n v="48.4"/>
    <n v="550"/>
    <n v="1"/>
    <n v="0"/>
    <n v="50"/>
    <n v="184706"/>
    <n v="51"/>
    <n v="71"/>
    <n v="51"/>
    <n v="600"/>
    <n v="1"/>
    <n v="120"/>
    <s v="PP"/>
    <n v="500"/>
    <n v="0.12"/>
    <x v="198"/>
    <n v="0.91666666666666663"/>
    <n v="3"/>
    <x v="1"/>
    <x v="3"/>
    <x v="198"/>
    <n v="1"/>
  </r>
  <r>
    <d v="2022-07-12T00:00:00"/>
    <x v="0"/>
    <s v="Matias"/>
    <x v="4"/>
    <s v="02PZ0314"/>
    <x v="35"/>
    <n v="53"/>
    <n v="570"/>
    <n v="1"/>
    <n v="0"/>
    <n v="15"/>
    <n v="184706"/>
    <n v="35"/>
    <n v="103"/>
    <n v="35"/>
    <n v="824"/>
    <n v="1"/>
    <n v="110"/>
    <s v="PP"/>
    <n v="555"/>
    <n v="0.11"/>
    <x v="199"/>
    <n v="0.69174757281553401"/>
    <n v="3"/>
    <x v="1"/>
    <x v="3"/>
    <x v="199"/>
    <n v="1"/>
  </r>
  <r>
    <d v="2022-07-12T00:00:00"/>
    <x v="1"/>
    <s v="Julian"/>
    <x v="3"/>
    <s v="02PZ0301"/>
    <x v="29"/>
    <n v="48.4"/>
    <n v="582"/>
    <n v="1"/>
    <n v="65"/>
    <n v="1"/>
    <n v="184706"/>
    <n v="51"/>
    <n v="71"/>
    <n v="51"/>
    <n v="600"/>
    <n v="1"/>
    <n v="120"/>
    <s v="PP"/>
    <n v="516"/>
    <n v="0.12"/>
    <x v="200"/>
    <n v="0.97"/>
    <n v="3"/>
    <x v="1"/>
    <x v="3"/>
    <x v="200"/>
    <n v="1"/>
  </r>
  <r>
    <d v="2022-07-12T00:00:00"/>
    <x v="1"/>
    <s v="Julian"/>
    <x v="4"/>
    <s v="02PZ0314"/>
    <x v="35"/>
    <n v="38"/>
    <n v="651"/>
    <n v="1"/>
    <n v="0"/>
    <n v="23"/>
    <n v="184706"/>
    <n v="35"/>
    <n v="103"/>
    <n v="35"/>
    <n v="824"/>
    <n v="1"/>
    <n v="110"/>
    <s v="PP"/>
    <n v="628"/>
    <n v="0.11"/>
    <x v="201"/>
    <n v="0.79004854368932043"/>
    <n v="3"/>
    <x v="1"/>
    <x v="3"/>
    <x v="201"/>
    <n v="1"/>
  </r>
  <r>
    <d v="2022-07-12T00:00:00"/>
    <x v="1"/>
    <s v="Gustavo"/>
    <x v="2"/>
    <s v="02PZ0319"/>
    <x v="3"/>
    <n v="33.5"/>
    <n v="526"/>
    <n v="1"/>
    <n v="0"/>
    <n v="28"/>
    <n v="184706"/>
    <n v="35"/>
    <n v="103"/>
    <n v="35"/>
    <n v="824"/>
    <n v="1"/>
    <n v="65"/>
    <s v="PP"/>
    <n v="498"/>
    <n v="6.5000000000000002E-2"/>
    <x v="202"/>
    <n v="0.63834951456310685"/>
    <n v="3"/>
    <x v="1"/>
    <x v="3"/>
    <x v="202"/>
    <n v="1"/>
  </r>
  <r>
    <d v="2022-07-12T00:00:00"/>
    <x v="1"/>
    <s v="Gustavo"/>
    <x v="1"/>
    <s v="02PZ0304"/>
    <x v="27"/>
    <n v="28"/>
    <n v="926"/>
    <n v="8"/>
    <n v="0"/>
    <n v="0"/>
    <n v="184706"/>
    <n v="2.25"/>
    <n v="1596"/>
    <n v="27"/>
    <n v="1083"/>
    <n v="12"/>
    <n v="2.8"/>
    <s v="PP"/>
    <n v="7408"/>
    <n v="2.24E-2"/>
    <x v="203"/>
    <n v="0.8550323176361958"/>
    <n v="3"/>
    <x v="1"/>
    <x v="3"/>
    <x v="203"/>
    <n v="1"/>
  </r>
  <r>
    <d v="2022-07-12T00:00:00"/>
    <x v="1"/>
    <s v="Gustavo"/>
    <x v="0"/>
    <s v="02PZ03400"/>
    <x v="26"/>
    <n v="0"/>
    <n v="0"/>
    <n v="0"/>
    <n v="0"/>
    <n v="0"/>
    <n v="0"/>
    <n v="0"/>
    <n v="0"/>
    <n v="0"/>
    <n v="0"/>
    <n v="0"/>
    <n v="0"/>
    <n v="0"/>
    <n v="0"/>
    <n v="0"/>
    <x v="1"/>
    <n v="0"/>
    <n v="3"/>
    <x v="1"/>
    <x v="3"/>
    <x v="1"/>
    <n v="1"/>
  </r>
  <r>
    <d v="2022-07-12T00:00:00"/>
    <x v="2"/>
    <s v="Gaston"/>
    <x v="0"/>
    <s v="02PZ0316"/>
    <x v="2"/>
    <n v="37.5"/>
    <n v="875"/>
    <n v="1"/>
    <m/>
    <n v="25"/>
    <n v="184706"/>
    <n v="30"/>
    <n v="120"/>
    <n v="30"/>
    <n v="960"/>
    <n v="1"/>
    <n v="20"/>
    <s v="PP"/>
    <n v="850"/>
    <n v="0.02"/>
    <x v="204"/>
    <n v="0.91145833333333337"/>
    <n v="3"/>
    <x v="1"/>
    <x v="3"/>
    <x v="204"/>
    <n v="1"/>
  </r>
  <r>
    <d v="2022-07-12T00:00:00"/>
    <x v="2"/>
    <s v="Lautaro"/>
    <x v="1"/>
    <s v="02PZ0304"/>
    <x v="27"/>
    <n v="28.3"/>
    <n v="1049"/>
    <n v="8"/>
    <m/>
    <n v="150"/>
    <n v="184706"/>
    <n v="2.25"/>
    <n v="1596"/>
    <n v="27"/>
    <n v="1083"/>
    <n v="12"/>
    <n v="2.8"/>
    <s v="PP"/>
    <n v="8242"/>
    <n v="2.24E-2"/>
    <x v="205"/>
    <n v="0.96860572483841179"/>
    <n v="3"/>
    <x v="1"/>
    <x v="3"/>
    <x v="205"/>
    <n v="1"/>
  </r>
  <r>
    <d v="2022-07-12T00:00:00"/>
    <x v="2"/>
    <s v="Gaston"/>
    <x v="2"/>
    <s v="02PZ0321"/>
    <x v="21"/>
    <n v="58.5"/>
    <n v="501"/>
    <n v="1"/>
    <n v="35"/>
    <n v="0"/>
    <n v="184706"/>
    <n v="48"/>
    <n v="75"/>
    <n v="48"/>
    <n v="600"/>
    <n v="1"/>
    <n v="115"/>
    <s v="PP"/>
    <n v="466"/>
    <n v="0.115"/>
    <x v="206"/>
    <n v="0.83499999999999996"/>
    <n v="3"/>
    <x v="1"/>
    <x v="3"/>
    <x v="206"/>
    <n v="1"/>
  </r>
  <r>
    <d v="2022-07-12T00:00:00"/>
    <x v="2"/>
    <s v="Lucas"/>
    <x v="3"/>
    <s v="02PZ0311"/>
    <x v="33"/>
    <n v="53.4"/>
    <n v="510"/>
    <n v="1"/>
    <n v="89"/>
    <n v="0"/>
    <n v="184706"/>
    <n v="57.4"/>
    <n v="63"/>
    <n v="57.4"/>
    <n v="502"/>
    <n v="1"/>
    <n v="120"/>
    <s v="PP"/>
    <n v="421"/>
    <n v="0.12"/>
    <x v="207"/>
    <n v="1.0159362549800797"/>
    <n v="3"/>
    <x v="1"/>
    <x v="3"/>
    <x v="207"/>
    <n v="1"/>
  </r>
  <r>
    <d v="2022-07-12T00:00:00"/>
    <x v="2"/>
    <s v="Lucas"/>
    <x v="4"/>
    <s v="02PZ0314"/>
    <x v="35"/>
    <n v="48"/>
    <n v="772"/>
    <n v="1"/>
    <m/>
    <n v="12"/>
    <n v="184706"/>
    <n v="35"/>
    <n v="103"/>
    <n v="35"/>
    <n v="824"/>
    <n v="1"/>
    <n v="110"/>
    <s v="PP"/>
    <n v="760"/>
    <n v="0.11"/>
    <x v="208"/>
    <n v="0.93689320388349517"/>
    <n v="3"/>
    <x v="1"/>
    <x v="3"/>
    <x v="208"/>
    <n v="1"/>
  </r>
  <r>
    <d v="2022-07-11T00:00:00"/>
    <x v="0"/>
    <s v="Matias"/>
    <x v="0"/>
    <s v="02PZ0316"/>
    <x v="2"/>
    <n v="35"/>
    <n v="730"/>
    <n v="1"/>
    <m/>
    <n v="25"/>
    <n v="184706"/>
    <n v="30"/>
    <n v="120"/>
    <n v="30"/>
    <n v="960"/>
    <n v="1"/>
    <n v="20"/>
    <s v="PP"/>
    <n v="705"/>
    <n v="0.02"/>
    <x v="145"/>
    <n v="0.76041666666666663"/>
    <n v="2"/>
    <x v="1"/>
    <x v="3"/>
    <x v="145"/>
    <n v="1"/>
  </r>
  <r>
    <d v="2022-07-11T00:00:00"/>
    <x v="0"/>
    <s v="Matias"/>
    <x v="1"/>
    <s v="02PZ0304"/>
    <x v="27"/>
    <n v="28"/>
    <n v="930"/>
    <n v="8"/>
    <m/>
    <m/>
    <n v="184706"/>
    <n v="2.25"/>
    <n v="1596"/>
    <n v="27"/>
    <n v="1083"/>
    <n v="12"/>
    <n v="2.8"/>
    <s v="PP"/>
    <n v="7440"/>
    <n v="2.24E-2"/>
    <x v="209"/>
    <n v="0.8587257617728532"/>
    <n v="2"/>
    <x v="1"/>
    <x v="3"/>
    <x v="209"/>
    <n v="1"/>
  </r>
  <r>
    <d v="2022-07-11T00:00:00"/>
    <x v="0"/>
    <s v="Brian"/>
    <x v="2"/>
    <s v="02PZ0321"/>
    <x v="21"/>
    <n v="45"/>
    <n v="555"/>
    <n v="1"/>
    <n v="3"/>
    <n v="7"/>
    <n v="184706"/>
    <n v="48"/>
    <n v="75"/>
    <n v="48"/>
    <n v="600"/>
    <n v="1"/>
    <n v="115"/>
    <s v="PP"/>
    <n v="545"/>
    <n v="0.115"/>
    <x v="210"/>
    <n v="0.92500000000000004"/>
    <n v="2"/>
    <x v="1"/>
    <x v="3"/>
    <x v="210"/>
    <n v="1"/>
  </r>
  <r>
    <d v="2022-07-11T00:00:00"/>
    <x v="0"/>
    <s v="Brian"/>
    <x v="3"/>
    <s v="02PZ0301"/>
    <x v="29"/>
    <n v="50"/>
    <n v="525"/>
    <n v="1"/>
    <n v="2"/>
    <n v="6"/>
    <n v="184706"/>
    <n v="51"/>
    <n v="71"/>
    <n v="51"/>
    <n v="600"/>
    <n v="1"/>
    <n v="120"/>
    <s v="PP"/>
    <n v="517"/>
    <n v="0.12"/>
    <x v="211"/>
    <n v="0.875"/>
    <n v="2"/>
    <x v="1"/>
    <x v="3"/>
    <x v="211"/>
    <n v="1"/>
  </r>
  <r>
    <d v="2022-07-11T00:00:00"/>
    <x v="0"/>
    <s v="Matias"/>
    <x v="4"/>
    <s v="02PZ0314"/>
    <x v="35"/>
    <n v="36"/>
    <n v="576"/>
    <n v="1"/>
    <m/>
    <n v="6"/>
    <n v="184706"/>
    <n v="35"/>
    <n v="103"/>
    <n v="35"/>
    <n v="824"/>
    <n v="1"/>
    <n v="110"/>
    <s v="PP"/>
    <n v="570"/>
    <n v="0.11"/>
    <x v="212"/>
    <n v="0.69902912621359226"/>
    <n v="2"/>
    <x v="1"/>
    <x v="3"/>
    <x v="212"/>
    <n v="1"/>
  </r>
  <r>
    <d v="2022-07-11T00:00:00"/>
    <x v="1"/>
    <s v="Lautaro"/>
    <x v="0"/>
    <s v="02PZ0316"/>
    <x v="2"/>
    <n v="35.5"/>
    <n v="765"/>
    <n v="1"/>
    <n v="0"/>
    <n v="46"/>
    <n v="184706"/>
    <n v="30"/>
    <n v="120"/>
    <n v="30"/>
    <n v="960"/>
    <n v="1"/>
    <n v="20"/>
    <s v="PP"/>
    <n v="719"/>
    <n v="0.02"/>
    <x v="213"/>
    <n v="0.796875"/>
    <n v="2"/>
    <x v="1"/>
    <x v="3"/>
    <x v="213"/>
    <n v="1"/>
  </r>
  <r>
    <d v="2022-07-11T00:00:00"/>
    <x v="1"/>
    <s v="Lautaro"/>
    <x v="1"/>
    <s v="02PZ0304"/>
    <x v="27"/>
    <n v="26"/>
    <n v="1047"/>
    <n v="7"/>
    <n v="0"/>
    <n v="1"/>
    <n v="184706"/>
    <n v="2.25"/>
    <n v="1596"/>
    <n v="27"/>
    <n v="1083"/>
    <n v="12"/>
    <n v="2.8"/>
    <s v="PP"/>
    <n v="7328"/>
    <n v="1.9599999999999999E-2"/>
    <x v="214"/>
    <n v="0.96675900277008309"/>
    <n v="2"/>
    <x v="1"/>
    <x v="3"/>
    <x v="214"/>
    <n v="1"/>
  </r>
  <r>
    <d v="2022-07-11T00:00:00"/>
    <x v="1"/>
    <s v="Julian"/>
    <x v="2"/>
    <s v="02PZ0321"/>
    <x v="21"/>
    <n v="51.6"/>
    <n v="457"/>
    <n v="1"/>
    <n v="41"/>
    <n v="1"/>
    <n v="184706"/>
    <n v="48"/>
    <n v="75"/>
    <n v="48"/>
    <n v="600"/>
    <n v="1"/>
    <n v="115"/>
    <s v="PP"/>
    <n v="415"/>
    <n v="0.115"/>
    <x v="215"/>
    <n v="0.76166666666666671"/>
    <n v="2"/>
    <x v="1"/>
    <x v="3"/>
    <x v="215"/>
    <n v="1"/>
  </r>
  <r>
    <d v="2022-07-11T00:00:00"/>
    <x v="1"/>
    <s v="Lautaro"/>
    <x v="3"/>
    <s v="02PZ0301"/>
    <x v="29"/>
    <n v="50"/>
    <n v="463"/>
    <n v="1"/>
    <m/>
    <n v="162"/>
    <n v="184706"/>
    <n v="51"/>
    <n v="71"/>
    <n v="51"/>
    <n v="600"/>
    <n v="1"/>
    <n v="120"/>
    <s v="PP"/>
    <n v="301"/>
    <n v="0.12"/>
    <x v="216"/>
    <n v="0.77166666666666661"/>
    <n v="2"/>
    <x v="1"/>
    <x v="3"/>
    <x v="216"/>
    <n v="1"/>
  </r>
  <r>
    <d v="2022-07-11T00:00:00"/>
    <x v="1"/>
    <s v="Julian"/>
    <x v="4"/>
    <s v="02PZ0314"/>
    <x v="35"/>
    <n v="40.4"/>
    <n v="638"/>
    <n v="1"/>
    <m/>
    <n v="16"/>
    <n v="184706"/>
    <n v="35"/>
    <n v="103"/>
    <n v="35"/>
    <n v="824"/>
    <n v="1"/>
    <n v="110"/>
    <s v="PP"/>
    <n v="622"/>
    <n v="0.11"/>
    <x v="217"/>
    <n v="0.77427184466019416"/>
    <n v="2"/>
    <x v="1"/>
    <x v="3"/>
    <x v="217"/>
    <n v="1"/>
  </r>
  <r>
    <d v="2022-07-11T00:00:00"/>
    <x v="2"/>
    <s v="Gustavo"/>
    <x v="1"/>
    <s v="02PZ0304"/>
    <x v="27"/>
    <n v="26.2"/>
    <n v="1012"/>
    <n v="7"/>
    <m/>
    <m/>
    <n v="184706"/>
    <n v="2.25"/>
    <n v="1596"/>
    <n v="27"/>
    <n v="1083"/>
    <n v="12"/>
    <n v="2.8"/>
    <s v="PP"/>
    <n v="7084"/>
    <n v="1.9599999999999999E-2"/>
    <x v="218"/>
    <n v="0.93444136657433052"/>
    <n v="2"/>
    <x v="1"/>
    <x v="3"/>
    <x v="218"/>
    <n v="1"/>
  </r>
  <r>
    <d v="2022-07-11T00:00:00"/>
    <x v="2"/>
    <s v="Lucas"/>
    <x v="4"/>
    <s v="02PZ0314"/>
    <x v="35"/>
    <n v="41.3"/>
    <n v="741"/>
    <n v="1"/>
    <n v="0"/>
    <n v="8"/>
    <n v="184706"/>
    <n v="35"/>
    <n v="103"/>
    <n v="35"/>
    <n v="824"/>
    <n v="1"/>
    <n v="110"/>
    <s v="PP"/>
    <n v="733"/>
    <n v="0.11"/>
    <x v="219"/>
    <n v="0.89927184466019416"/>
    <n v="2"/>
    <x v="1"/>
    <x v="3"/>
    <x v="219"/>
    <n v="1"/>
  </r>
  <r>
    <d v="2022-07-11T00:00:00"/>
    <x v="2"/>
    <s v="Gustavo"/>
    <x v="0"/>
    <s v="02PZ0316"/>
    <x v="2"/>
    <n v="35.5"/>
    <n v="374"/>
    <n v="1"/>
    <n v="0"/>
    <n v="14"/>
    <n v="184706"/>
    <n v="30"/>
    <n v="120"/>
    <n v="30"/>
    <n v="960"/>
    <n v="1"/>
    <n v="20"/>
    <s v="PP"/>
    <n v="360"/>
    <n v="0.02"/>
    <x v="220"/>
    <n v="0.38958333333333334"/>
    <n v="2"/>
    <x v="1"/>
    <x v="3"/>
    <x v="220"/>
    <n v="1"/>
  </r>
  <r>
    <d v="2022-07-11T00:00:00"/>
    <x v="2"/>
    <s v="Gaston"/>
    <x v="2"/>
    <s v="02PZ0321"/>
    <x v="21"/>
    <n v="45.5"/>
    <n v="458"/>
    <n v="1"/>
    <n v="19"/>
    <n v="8"/>
    <n v="184706"/>
    <n v="48"/>
    <n v="75"/>
    <n v="48"/>
    <n v="600"/>
    <n v="1"/>
    <n v="115"/>
    <s v="PP"/>
    <n v="431"/>
    <n v="0.115"/>
    <x v="221"/>
    <n v="0.76333333333333331"/>
    <n v="2"/>
    <x v="1"/>
    <x v="3"/>
    <x v="221"/>
    <n v="1"/>
  </r>
  <r>
    <d v="2022-07-11T00:00:00"/>
    <x v="2"/>
    <s v="Lucas"/>
    <x v="3"/>
    <s v="02PZ0301"/>
    <x v="29"/>
    <n v="50.4"/>
    <n v="456"/>
    <n v="1"/>
    <n v="5"/>
    <n v="9"/>
    <n v="184706"/>
    <n v="51"/>
    <n v="71"/>
    <n v="51"/>
    <n v="600"/>
    <n v="1"/>
    <n v="120"/>
    <s v="PP"/>
    <n v="442"/>
    <n v="0.12"/>
    <x v="222"/>
    <n v="0.76"/>
    <n v="2"/>
    <x v="1"/>
    <x v="3"/>
    <x v="222"/>
    <n v="1"/>
  </r>
  <r>
    <d v="2022-07-08T00:00:00"/>
    <x v="0"/>
    <s v="Matias"/>
    <x v="0"/>
    <s v="02PZ03405"/>
    <x v="6"/>
    <m/>
    <m/>
    <m/>
    <m/>
    <m/>
    <m/>
    <n v="0"/>
    <n v="0"/>
    <n v="0"/>
    <n v="0"/>
    <n v="0"/>
    <n v="0"/>
    <n v="0"/>
    <n v="0"/>
    <n v="0"/>
    <x v="1"/>
    <n v="0"/>
    <n v="6"/>
    <x v="1"/>
    <x v="4"/>
    <x v="1"/>
    <n v="0"/>
  </r>
  <r>
    <d v="2022-07-08T00:00:00"/>
    <x v="0"/>
    <s v="Matias"/>
    <x v="1"/>
    <s v="02PZ03405"/>
    <x v="6"/>
    <m/>
    <m/>
    <m/>
    <m/>
    <m/>
    <m/>
    <n v="0"/>
    <n v="0"/>
    <n v="0"/>
    <n v="0"/>
    <n v="0"/>
    <n v="0"/>
    <n v="0"/>
    <n v="0"/>
    <n v="0"/>
    <x v="1"/>
    <n v="0"/>
    <n v="6"/>
    <x v="1"/>
    <x v="4"/>
    <x v="1"/>
    <n v="0"/>
  </r>
  <r>
    <d v="2022-07-08T00:00:00"/>
    <x v="0"/>
    <s v="Brian"/>
    <x v="2"/>
    <s v="02PZ0321"/>
    <x v="21"/>
    <n v="52"/>
    <n v="505"/>
    <n v="1"/>
    <n v="3"/>
    <n v="2"/>
    <n v="184706"/>
    <n v="48"/>
    <n v="75"/>
    <n v="48"/>
    <n v="600"/>
    <n v="1"/>
    <n v="115"/>
    <s v="PP"/>
    <n v="500"/>
    <n v="0.115"/>
    <x v="223"/>
    <n v="0.84166666666666667"/>
    <n v="6"/>
    <x v="1"/>
    <x v="4"/>
    <x v="223"/>
    <n v="1"/>
  </r>
  <r>
    <d v="2022-07-08T00:00:00"/>
    <x v="0"/>
    <s v="Brian"/>
    <x v="3"/>
    <s v="02PZ0301"/>
    <x v="29"/>
    <n v="51"/>
    <n v="438"/>
    <n v="1"/>
    <m/>
    <n v="25"/>
    <n v="184706"/>
    <n v="51"/>
    <n v="71"/>
    <n v="51"/>
    <n v="600"/>
    <n v="1"/>
    <n v="120"/>
    <s v="PP"/>
    <n v="413"/>
    <n v="0.12"/>
    <x v="224"/>
    <n v="0.73"/>
    <n v="6"/>
    <x v="1"/>
    <x v="4"/>
    <x v="224"/>
    <n v="1"/>
  </r>
  <r>
    <d v="2022-07-08T00:00:00"/>
    <x v="0"/>
    <s v="Matias"/>
    <x v="4"/>
    <s v="02PZ03405"/>
    <x v="6"/>
    <m/>
    <m/>
    <m/>
    <m/>
    <m/>
    <m/>
    <n v="0"/>
    <n v="0"/>
    <n v="0"/>
    <n v="0"/>
    <n v="0"/>
    <n v="0"/>
    <n v="0"/>
    <n v="0"/>
    <n v="0"/>
    <x v="1"/>
    <n v="0"/>
    <n v="6"/>
    <x v="1"/>
    <x v="4"/>
    <x v="1"/>
    <n v="0"/>
  </r>
  <r>
    <d v="2022-07-08T00:00:00"/>
    <x v="1"/>
    <s v="Julian"/>
    <x v="0"/>
    <s v="02PZ0316"/>
    <x v="2"/>
    <n v="31"/>
    <n v="555"/>
    <n v="1"/>
    <n v="0"/>
    <n v="0"/>
    <n v="184706"/>
    <n v="30"/>
    <n v="120"/>
    <n v="30"/>
    <n v="960"/>
    <n v="1"/>
    <n v="20"/>
    <s v="PP"/>
    <n v="555"/>
    <n v="0.02"/>
    <x v="225"/>
    <n v="0.578125"/>
    <n v="6"/>
    <x v="1"/>
    <x v="4"/>
    <x v="225"/>
    <n v="1"/>
  </r>
  <r>
    <d v="2022-07-08T00:00:00"/>
    <x v="1"/>
    <s v="Julian"/>
    <x v="1"/>
    <s v="02PZ03405"/>
    <x v="6"/>
    <m/>
    <m/>
    <m/>
    <m/>
    <m/>
    <m/>
    <n v="0"/>
    <n v="0"/>
    <n v="0"/>
    <n v="0"/>
    <n v="0"/>
    <n v="0"/>
    <n v="0"/>
    <n v="0"/>
    <n v="0"/>
    <x v="1"/>
    <n v="0"/>
    <n v="6"/>
    <x v="1"/>
    <x v="4"/>
    <x v="1"/>
    <n v="0"/>
  </r>
  <r>
    <d v="2022-07-08T00:00:00"/>
    <x v="1"/>
    <s v="Julian"/>
    <x v="2"/>
    <s v="02PZ0321"/>
    <x v="21"/>
    <n v="48.6"/>
    <n v="565"/>
    <n v="1"/>
    <n v="18"/>
    <n v="0"/>
    <n v="184706"/>
    <n v="48"/>
    <n v="75"/>
    <n v="48"/>
    <n v="600"/>
    <n v="1"/>
    <n v="115"/>
    <s v="PP"/>
    <n v="547"/>
    <n v="0.115"/>
    <x v="226"/>
    <n v="0.94166666666666665"/>
    <n v="6"/>
    <x v="1"/>
    <x v="4"/>
    <x v="226"/>
    <n v="1"/>
  </r>
  <r>
    <d v="2022-07-08T00:00:00"/>
    <x v="1"/>
    <s v="Julian"/>
    <x v="4"/>
    <s v="02PZ03405"/>
    <x v="6"/>
    <m/>
    <m/>
    <m/>
    <m/>
    <m/>
    <m/>
    <n v="0"/>
    <n v="0"/>
    <n v="0"/>
    <n v="0"/>
    <n v="0"/>
    <n v="0"/>
    <n v="0"/>
    <n v="0"/>
    <n v="0"/>
    <x v="1"/>
    <n v="0"/>
    <n v="6"/>
    <x v="1"/>
    <x v="4"/>
    <x v="1"/>
    <n v="0"/>
  </r>
  <r>
    <d v="2022-07-08T00:00:00"/>
    <x v="1"/>
    <s v="Julian"/>
    <x v="3"/>
    <s v="02PZ03402"/>
    <x v="28"/>
    <m/>
    <m/>
    <m/>
    <m/>
    <m/>
    <m/>
    <n v="0"/>
    <n v="0"/>
    <n v="0"/>
    <n v="0"/>
    <n v="0"/>
    <n v="0"/>
    <n v="0"/>
    <n v="0"/>
    <n v="0"/>
    <x v="1"/>
    <n v="0"/>
    <n v="6"/>
    <x v="1"/>
    <x v="4"/>
    <x v="1"/>
    <n v="1"/>
  </r>
  <r>
    <d v="2022-07-08T00:00:00"/>
    <x v="2"/>
    <s v="Lautaro"/>
    <x v="0"/>
    <s v="02PZ0316"/>
    <x v="2"/>
    <n v="31"/>
    <n v="756"/>
    <n v="1"/>
    <m/>
    <n v="1"/>
    <n v="184706"/>
    <n v="30"/>
    <n v="120"/>
    <n v="30"/>
    <n v="960"/>
    <n v="1"/>
    <n v="20"/>
    <s v="PP"/>
    <n v="755"/>
    <n v="15.12"/>
    <x v="227"/>
    <n v="0.78749999999999998"/>
    <n v="6"/>
    <x v="1"/>
    <x v="4"/>
    <x v="227"/>
    <n v="1"/>
  </r>
  <r>
    <d v="2022-07-08T00:00:00"/>
    <x v="2"/>
    <s v="Lautaro"/>
    <x v="1"/>
    <s v="02PZ0304"/>
    <x v="27"/>
    <n v="28.8"/>
    <n v="1069"/>
    <n v="8"/>
    <n v="0"/>
    <n v="0"/>
    <n v="184706"/>
    <n v="2.25"/>
    <n v="1596"/>
    <n v="27"/>
    <n v="1083"/>
    <n v="12"/>
    <n v="2.8"/>
    <s v="PP"/>
    <n v="8552"/>
    <n v="2.9931999999999999"/>
    <x v="228"/>
    <n v="0.987072945521699"/>
    <n v="6"/>
    <x v="1"/>
    <x v="4"/>
    <x v="228"/>
    <n v="1"/>
  </r>
  <r>
    <d v="2022-07-08T00:00:00"/>
    <x v="2"/>
    <s v="Lautaro"/>
    <x v="2"/>
    <s v="02PZ0321"/>
    <x v="21"/>
    <n v="50"/>
    <n v="585"/>
    <n v="1"/>
    <n v="6"/>
    <n v="3"/>
    <n v="184706"/>
    <n v="48"/>
    <n v="75"/>
    <n v="48"/>
    <n v="600"/>
    <n v="1"/>
    <n v="115"/>
    <s v="PP"/>
    <n v="576"/>
    <n v="67.275000000000006"/>
    <x v="65"/>
    <n v="0.97499999999999998"/>
    <n v="6"/>
    <x v="1"/>
    <x v="4"/>
    <x v="65"/>
    <n v="1"/>
  </r>
  <r>
    <d v="2022-07-08T00:00:00"/>
    <x v="2"/>
    <s v="Lucas"/>
    <x v="3"/>
    <s v="02PZ0301"/>
    <x v="29"/>
    <n v="51"/>
    <n v="535"/>
    <n v="1"/>
    <n v="3"/>
    <n v="8"/>
    <n v="184706"/>
    <n v="51"/>
    <n v="71"/>
    <n v="51"/>
    <n v="600"/>
    <n v="1"/>
    <n v="120"/>
    <s v="PP"/>
    <n v="524"/>
    <n v="64.2"/>
    <x v="101"/>
    <n v="0.89166666666666672"/>
    <n v="6"/>
    <x v="1"/>
    <x v="4"/>
    <x v="101"/>
    <n v="1"/>
  </r>
  <r>
    <d v="2022-07-08T00:00:00"/>
    <x v="2"/>
    <s v="Lucas"/>
    <x v="4"/>
    <s v="02PZ0315"/>
    <x v="34"/>
    <n v="40"/>
    <n v="520"/>
    <n v="1"/>
    <n v="0"/>
    <n v="20"/>
    <n v="184706"/>
    <n v="35"/>
    <n v="103"/>
    <n v="35"/>
    <n v="824"/>
    <n v="1"/>
    <n v="65"/>
    <s v="PP"/>
    <n v="500"/>
    <n v="33.799999999999997"/>
    <x v="229"/>
    <n v="0.6310679611650486"/>
    <n v="6"/>
    <x v="1"/>
    <x v="4"/>
    <x v="229"/>
    <n v="1"/>
  </r>
  <r>
    <d v="2022-07-06T00:00:00"/>
    <x v="0"/>
    <s v="Matias"/>
    <x v="0"/>
    <s v="02PZ0316"/>
    <x v="2"/>
    <n v="30.3"/>
    <n v="750"/>
    <n v="1"/>
    <n v="0"/>
    <n v="80"/>
    <n v="184706"/>
    <n v="30"/>
    <n v="120"/>
    <n v="30"/>
    <n v="960"/>
    <n v="1"/>
    <n v="20"/>
    <s v="PP"/>
    <n v="670"/>
    <n v="15"/>
    <x v="230"/>
    <n v="0.78125"/>
    <n v="4"/>
    <x v="1"/>
    <x v="4"/>
    <x v="230"/>
    <n v="1"/>
  </r>
  <r>
    <d v="2022-07-07T00:00:00"/>
    <x v="0"/>
    <s v="Matias"/>
    <x v="0"/>
    <s v="02PZ0316"/>
    <x v="2"/>
    <n v="31"/>
    <n v="780"/>
    <n v="1"/>
    <m/>
    <n v="50"/>
    <n v="184706"/>
    <n v="30"/>
    <n v="120"/>
    <n v="30"/>
    <n v="960"/>
    <n v="1"/>
    <n v="20"/>
    <s v="PP"/>
    <n v="730"/>
    <n v="15.6"/>
    <x v="231"/>
    <n v="0.8125"/>
    <n v="5"/>
    <x v="1"/>
    <x v="4"/>
    <x v="231"/>
    <n v="1"/>
  </r>
  <r>
    <d v="2022-07-07T00:00:00"/>
    <x v="0"/>
    <s v="Matias"/>
    <x v="1"/>
    <s v="02PZ0304"/>
    <x v="27"/>
    <n v="26"/>
    <n v="1100"/>
    <n v="8"/>
    <m/>
    <m/>
    <n v="183471"/>
    <n v="2.25"/>
    <n v="1596"/>
    <n v="27"/>
    <n v="1083"/>
    <n v="12"/>
    <n v="2.8"/>
    <s v="PP"/>
    <n v="8800"/>
    <n v="3.08"/>
    <x v="232"/>
    <n v="1.0156971375807942"/>
    <n v="5"/>
    <x v="1"/>
    <x v="4"/>
    <x v="232"/>
    <n v="1"/>
  </r>
  <r>
    <d v="2022-07-07T00:00:00"/>
    <x v="0"/>
    <s v="Brian"/>
    <x v="2"/>
    <s v="02PZ0321"/>
    <x v="21"/>
    <n v="53"/>
    <n v="498"/>
    <n v="1"/>
    <n v="4"/>
    <n v="3"/>
    <n v="183471"/>
    <n v="48"/>
    <n v="75"/>
    <n v="48"/>
    <n v="600"/>
    <n v="1"/>
    <n v="115"/>
    <s v="PP"/>
    <n v="491"/>
    <n v="57.27"/>
    <x v="233"/>
    <n v="0.83"/>
    <n v="5"/>
    <x v="1"/>
    <x v="4"/>
    <x v="233"/>
    <n v="1"/>
  </r>
  <r>
    <d v="2022-07-07T00:00:00"/>
    <x v="0"/>
    <s v="Brian"/>
    <x v="3"/>
    <s v="02PZ0301"/>
    <x v="29"/>
    <n v="51"/>
    <n v="512"/>
    <n v="1"/>
    <n v="3"/>
    <n v="5"/>
    <n v="183471"/>
    <n v="51"/>
    <n v="71"/>
    <n v="51"/>
    <n v="600"/>
    <n v="1"/>
    <n v="120"/>
    <s v="PP"/>
    <n v="504"/>
    <n v="61.44"/>
    <x v="234"/>
    <n v="0.85333333333333339"/>
    <n v="5"/>
    <x v="1"/>
    <x v="4"/>
    <x v="234"/>
    <n v="1"/>
  </r>
  <r>
    <d v="2022-07-07T00:00:00"/>
    <x v="0"/>
    <s v="Matias"/>
    <x v="4"/>
    <s v="02PZ0314"/>
    <x v="35"/>
    <n v="57"/>
    <n v="515"/>
    <n v="1"/>
    <m/>
    <n v="13"/>
    <n v="183471"/>
    <n v="35"/>
    <n v="103"/>
    <n v="35"/>
    <n v="824"/>
    <n v="1"/>
    <n v="110"/>
    <s v="PP"/>
    <n v="502"/>
    <n v="56.65"/>
    <x v="235"/>
    <n v="0.625"/>
    <n v="5"/>
    <x v="1"/>
    <x v="4"/>
    <x v="235"/>
    <n v="1"/>
  </r>
  <r>
    <d v="2022-07-07T00:00:00"/>
    <x v="1"/>
    <s v="Julian"/>
    <x v="0"/>
    <s v="02PZ03405"/>
    <x v="6"/>
    <m/>
    <m/>
    <m/>
    <m/>
    <m/>
    <m/>
    <n v="0"/>
    <n v="0"/>
    <n v="0"/>
    <n v="0"/>
    <n v="0"/>
    <n v="0"/>
    <n v="0"/>
    <n v="0"/>
    <n v="0"/>
    <x v="1"/>
    <n v="0"/>
    <n v="5"/>
    <x v="1"/>
    <x v="4"/>
    <x v="1"/>
    <n v="0"/>
  </r>
  <r>
    <d v="2022-07-07T00:00:00"/>
    <x v="1"/>
    <s v="Gustavo"/>
    <x v="1"/>
    <s v="02PZ03405"/>
    <x v="6"/>
    <m/>
    <m/>
    <m/>
    <m/>
    <m/>
    <m/>
    <n v="0"/>
    <n v="0"/>
    <n v="0"/>
    <n v="0"/>
    <n v="0"/>
    <n v="0"/>
    <n v="0"/>
    <n v="0"/>
    <n v="0"/>
    <x v="1"/>
    <n v="0"/>
    <n v="5"/>
    <x v="1"/>
    <x v="4"/>
    <x v="1"/>
    <n v="0"/>
  </r>
  <r>
    <d v="2022-07-07T00:00:00"/>
    <x v="1"/>
    <s v="Julian"/>
    <x v="2"/>
    <s v="02PZ0321"/>
    <x v="21"/>
    <n v="53"/>
    <n v="429"/>
    <n v="1"/>
    <n v="50"/>
    <m/>
    <n v="183471"/>
    <n v="48"/>
    <n v="75"/>
    <n v="48"/>
    <n v="600"/>
    <n v="1"/>
    <n v="115"/>
    <s v="PP"/>
    <n v="379"/>
    <n v="49.335000000000001"/>
    <x v="236"/>
    <n v="0.71499999999999997"/>
    <n v="5"/>
    <x v="1"/>
    <x v="4"/>
    <x v="236"/>
    <n v="1"/>
  </r>
  <r>
    <d v="2022-07-07T00:00:00"/>
    <x v="1"/>
    <s v="Julian"/>
    <x v="3"/>
    <s v="02PZ0311"/>
    <x v="33"/>
    <n v="67.5"/>
    <n v="75"/>
    <n v="1"/>
    <n v="3"/>
    <m/>
    <n v="183471"/>
    <n v="57.4"/>
    <n v="63"/>
    <n v="57.4"/>
    <n v="502"/>
    <n v="1"/>
    <n v="120"/>
    <s v="PP"/>
    <n v="72"/>
    <n v="9"/>
    <x v="237"/>
    <n v="0.14940239043824702"/>
    <n v="5"/>
    <x v="1"/>
    <x v="4"/>
    <x v="237"/>
    <n v="1"/>
  </r>
  <r>
    <d v="2022-07-07T00:00:00"/>
    <x v="1"/>
    <s v="Julian"/>
    <x v="4"/>
    <s v="02PZ0314"/>
    <x v="35"/>
    <n v="57"/>
    <n v="402"/>
    <n v="1"/>
    <n v="33"/>
    <m/>
    <n v="183471"/>
    <n v="35"/>
    <n v="103"/>
    <n v="35"/>
    <n v="824"/>
    <n v="1"/>
    <n v="110"/>
    <s v="PP"/>
    <n v="369"/>
    <n v="44.22"/>
    <x v="238"/>
    <n v="0.48786407766990292"/>
    <n v="5"/>
    <x v="1"/>
    <x v="4"/>
    <x v="238"/>
    <n v="1"/>
  </r>
  <r>
    <d v="2022-07-07T00:00:00"/>
    <x v="2"/>
    <s v="Lucas"/>
    <x v="0"/>
    <s v="02PZ0316"/>
    <x v="2"/>
    <n v="42.3"/>
    <n v="557"/>
    <n v="1"/>
    <m/>
    <n v="20"/>
    <n v="183471"/>
    <n v="30"/>
    <n v="120"/>
    <n v="30"/>
    <n v="960"/>
    <n v="1"/>
    <n v="20"/>
    <s v="PP"/>
    <n v="537"/>
    <n v="11.14"/>
    <x v="239"/>
    <n v="0.58020833333333333"/>
    <n v="5"/>
    <x v="1"/>
    <x v="4"/>
    <x v="239"/>
    <n v="1"/>
  </r>
  <r>
    <d v="2022-07-07T00:00:00"/>
    <x v="2"/>
    <s v="Lucas"/>
    <x v="1"/>
    <s v="02PZ0304"/>
    <x v="27"/>
    <n v="26.2"/>
    <n v="1041"/>
    <n v="8"/>
    <n v="0"/>
    <n v="0"/>
    <n v="183471"/>
    <n v="2.25"/>
    <n v="1596"/>
    <n v="27"/>
    <n v="1083"/>
    <n v="12"/>
    <n v="2.8"/>
    <s v="PP"/>
    <n v="8328"/>
    <n v="2.9147999999999996"/>
    <x v="240"/>
    <n v="0.96121883656509699"/>
    <n v="5"/>
    <x v="1"/>
    <x v="4"/>
    <x v="240"/>
    <n v="1"/>
  </r>
  <r>
    <d v="2022-07-07T00:00:00"/>
    <x v="2"/>
    <s v="Lucas"/>
    <x v="2"/>
    <s v="02PZ0321"/>
    <x v="21"/>
    <n v="53.7"/>
    <n v="332"/>
    <n v="1"/>
    <n v="6"/>
    <n v="3"/>
    <n v="183471"/>
    <n v="48"/>
    <n v="75"/>
    <n v="48"/>
    <n v="600"/>
    <n v="1"/>
    <n v="115"/>
    <s v="PP"/>
    <n v="323"/>
    <n v="38.18"/>
    <x v="241"/>
    <n v="0.55333333333333334"/>
    <n v="5"/>
    <x v="1"/>
    <x v="4"/>
    <x v="241"/>
    <n v="1"/>
  </r>
  <r>
    <d v="2022-07-07T00:00:00"/>
    <x v="2"/>
    <s v="Lucas"/>
    <x v="3"/>
    <s v="02PZ0311"/>
    <x v="33"/>
    <n v="67.5"/>
    <n v="334"/>
    <n v="1"/>
    <n v="20"/>
    <n v="5"/>
    <n v="183471"/>
    <n v="57.4"/>
    <n v="63"/>
    <n v="57.4"/>
    <n v="502"/>
    <n v="1"/>
    <n v="120"/>
    <s v="PP"/>
    <n v="309"/>
    <n v="40.08"/>
    <x v="242"/>
    <n v="0.66533864541832666"/>
    <n v="5"/>
    <x v="1"/>
    <x v="4"/>
    <x v="242"/>
    <n v="1"/>
  </r>
  <r>
    <d v="2022-07-07T00:00:00"/>
    <x v="2"/>
    <s v="Lucas"/>
    <x v="4"/>
    <s v="02PZ0318"/>
    <x v="4"/>
    <n v="57"/>
    <n v="500"/>
    <n v="1"/>
    <n v="10"/>
    <n v="5"/>
    <n v="183471"/>
    <n v="35"/>
    <n v="103"/>
    <n v="35"/>
    <n v="824"/>
    <n v="1"/>
    <n v="110"/>
    <s v="PP"/>
    <n v="485"/>
    <n v="55"/>
    <x v="243"/>
    <n v="0.60679611650485432"/>
    <n v="5"/>
    <x v="1"/>
    <x v="4"/>
    <x v="243"/>
    <n v="1"/>
  </r>
  <r>
    <d v="2022-07-06T00:00:00"/>
    <x v="0"/>
    <s v="Matias"/>
    <x v="1"/>
    <s v="02PZ0304"/>
    <x v="27"/>
    <n v="26.3"/>
    <n v="709"/>
    <n v="6"/>
    <n v="0"/>
    <n v="0"/>
    <n v="183471"/>
    <n v="2.25"/>
    <n v="1596"/>
    <n v="27"/>
    <n v="1083"/>
    <n v="12"/>
    <n v="2.8"/>
    <s v="PP"/>
    <n v="4254"/>
    <n v="1.9851999999999999"/>
    <x v="244"/>
    <n v="0.65466297322252998"/>
    <n v="4"/>
    <x v="1"/>
    <x v="4"/>
    <x v="244"/>
    <n v="1"/>
  </r>
  <r>
    <d v="2022-07-06T00:00:00"/>
    <x v="0"/>
    <s v="Brian"/>
    <x v="2"/>
    <s v="02PZ0321"/>
    <x v="21"/>
    <n v="54"/>
    <n v="535"/>
    <n v="1"/>
    <n v="15"/>
    <n v="2"/>
    <n v="183475"/>
    <n v="48"/>
    <n v="75"/>
    <n v="48"/>
    <n v="600"/>
    <n v="1"/>
    <n v="115"/>
    <s v="PP"/>
    <n v="518"/>
    <n v="61.524999999999999"/>
    <x v="245"/>
    <n v="0.89166666666666672"/>
    <n v="4"/>
    <x v="1"/>
    <x v="4"/>
    <x v="245"/>
    <n v="1"/>
  </r>
  <r>
    <d v="2022-07-06T00:00:00"/>
    <x v="0"/>
    <s v="Brian"/>
    <x v="3"/>
    <s v="02PZ0311"/>
    <x v="21"/>
    <n v="52"/>
    <n v="509"/>
    <n v="1"/>
    <n v="4"/>
    <n v="2"/>
    <n v="183475"/>
    <n v="57.4"/>
    <n v="63"/>
    <n v="57.4"/>
    <n v="502"/>
    <n v="1"/>
    <n v="120"/>
    <s v="PP"/>
    <n v="503"/>
    <n v="61.08"/>
    <x v="246"/>
    <n v="1.0139442231075697"/>
    <n v="4"/>
    <x v="1"/>
    <x v="4"/>
    <x v="246"/>
    <n v="1"/>
  </r>
  <r>
    <d v="2022-07-06T00:00:00"/>
    <x v="0"/>
    <s v="Matias"/>
    <x v="4"/>
    <s v="02PZ0318"/>
    <x v="4"/>
    <n v="35"/>
    <n v="790"/>
    <n v="1"/>
    <n v="0"/>
    <n v="10"/>
    <n v="183475"/>
    <n v="35"/>
    <n v="103"/>
    <n v="35"/>
    <n v="824"/>
    <n v="1"/>
    <n v="110"/>
    <s v="PP"/>
    <n v="780"/>
    <n v="86.9"/>
    <x v="247"/>
    <n v="0.95873786407766992"/>
    <n v="4"/>
    <x v="1"/>
    <x v="4"/>
    <x v="247"/>
    <n v="1"/>
  </r>
  <r>
    <d v="2022-07-06T00:00:00"/>
    <x v="1"/>
    <s v="Julian"/>
    <x v="0"/>
    <s v="02PZ03405"/>
    <x v="6"/>
    <m/>
    <m/>
    <m/>
    <m/>
    <m/>
    <m/>
    <n v="0"/>
    <n v="0"/>
    <n v="0"/>
    <n v="0"/>
    <n v="0"/>
    <n v="0"/>
    <n v="0"/>
    <n v="0"/>
    <n v="0"/>
    <x v="1"/>
    <n v="0"/>
    <n v="4"/>
    <x v="1"/>
    <x v="4"/>
    <x v="1"/>
    <n v="0"/>
  </r>
  <r>
    <d v="2022-07-06T00:00:00"/>
    <x v="1"/>
    <s v="Julian"/>
    <x v="1"/>
    <s v="02PZ0303"/>
    <x v="9"/>
    <n v="31"/>
    <n v="847"/>
    <n v="1"/>
    <m/>
    <m/>
    <n v="183471"/>
    <n v="4.75"/>
    <n v="752"/>
    <n v="38"/>
    <n v="758"/>
    <n v="8"/>
    <n v="2.8"/>
    <s v="PP"/>
    <n v="847"/>
    <n v="2.3715999999999999"/>
    <x v="248"/>
    <n v="1.1174142480211082"/>
    <n v="4"/>
    <x v="1"/>
    <x v="4"/>
    <x v="248"/>
    <n v="1"/>
  </r>
  <r>
    <d v="2022-07-06T00:00:00"/>
    <x v="1"/>
    <s v="Julian"/>
    <x v="2"/>
    <s v="02PZ03405"/>
    <x v="6"/>
    <m/>
    <m/>
    <m/>
    <m/>
    <m/>
    <m/>
    <n v="0"/>
    <n v="0"/>
    <n v="0"/>
    <n v="0"/>
    <n v="0"/>
    <n v="0"/>
    <n v="0"/>
    <n v="0"/>
    <n v="0"/>
    <x v="1"/>
    <n v="0"/>
    <n v="4"/>
    <x v="1"/>
    <x v="4"/>
    <x v="1"/>
    <n v="0"/>
  </r>
  <r>
    <d v="2022-07-06T00:00:00"/>
    <x v="1"/>
    <s v="Julian"/>
    <x v="3"/>
    <s v="02PZ0311"/>
    <x v="33"/>
    <n v="52"/>
    <n v="346"/>
    <n v="1"/>
    <n v="3"/>
    <m/>
    <n v="183471"/>
    <n v="57.4"/>
    <n v="63"/>
    <n v="57.4"/>
    <n v="502"/>
    <n v="1"/>
    <n v="120"/>
    <s v="PP"/>
    <n v="343"/>
    <n v="41.52"/>
    <x v="249"/>
    <n v="0.68924302788844627"/>
    <n v="4"/>
    <x v="1"/>
    <x v="4"/>
    <x v="249"/>
    <n v="1"/>
  </r>
  <r>
    <d v="2022-07-06T00:00:00"/>
    <x v="1"/>
    <s v="Julian"/>
    <x v="4"/>
    <s v="02PZ03405"/>
    <x v="6"/>
    <m/>
    <m/>
    <m/>
    <m/>
    <m/>
    <n v="183471"/>
    <n v="0"/>
    <n v="0"/>
    <n v="0"/>
    <n v="0"/>
    <n v="0"/>
    <n v="0"/>
    <n v="0"/>
    <n v="0"/>
    <n v="0"/>
    <x v="1"/>
    <n v="0"/>
    <n v="4"/>
    <x v="1"/>
    <x v="4"/>
    <x v="1"/>
    <n v="0"/>
  </r>
  <r>
    <d v="2022-07-06T00:00:00"/>
    <x v="2"/>
    <s v="Lautaro"/>
    <x v="0"/>
    <s v="02PZ0316"/>
    <x v="2"/>
    <n v="36"/>
    <n v="569"/>
    <n v="1"/>
    <n v="10"/>
    <n v="5"/>
    <n v="183471"/>
    <n v="30"/>
    <n v="120"/>
    <n v="30"/>
    <n v="960"/>
    <n v="1"/>
    <n v="20"/>
    <s v="PP"/>
    <n v="554"/>
    <n v="11.38"/>
    <x v="250"/>
    <n v="0.59270833333333328"/>
    <n v="4"/>
    <x v="1"/>
    <x v="4"/>
    <x v="250"/>
    <n v="1"/>
  </r>
  <r>
    <d v="2022-07-06T00:00:00"/>
    <x v="2"/>
    <s v="Lautaro"/>
    <x v="1"/>
    <s v="02PZ0303"/>
    <x v="9"/>
    <n v="31"/>
    <n v="884"/>
    <n v="6"/>
    <n v="0"/>
    <n v="0"/>
    <n v="183471"/>
    <n v="4.75"/>
    <n v="752"/>
    <n v="38"/>
    <n v="758"/>
    <n v="8"/>
    <n v="2.8"/>
    <s v="PP"/>
    <n v="5304"/>
    <n v="2.4751999999999996"/>
    <x v="251"/>
    <n v="1.1662269129287599"/>
    <n v="4"/>
    <x v="1"/>
    <x v="4"/>
    <x v="251"/>
    <n v="1"/>
  </r>
  <r>
    <d v="2022-07-06T00:00:00"/>
    <x v="2"/>
    <s v="Gaston"/>
    <x v="2"/>
    <s v="02PZ0321"/>
    <x v="21"/>
    <n v="54"/>
    <n v="439"/>
    <n v="1"/>
    <n v="5"/>
    <n v="2"/>
    <n v="183471"/>
    <n v="48"/>
    <n v="75"/>
    <n v="48"/>
    <n v="600"/>
    <n v="1"/>
    <n v="115"/>
    <s v="PP"/>
    <n v="432"/>
    <n v="50.484999999999999"/>
    <x v="252"/>
    <n v="0.73166666666666669"/>
    <n v="4"/>
    <x v="1"/>
    <x v="4"/>
    <x v="252"/>
    <n v="1"/>
  </r>
  <r>
    <d v="2022-07-06T00:00:00"/>
    <x v="2"/>
    <s v="Gaston"/>
    <x v="3"/>
    <s v="02PZ0311"/>
    <x v="33"/>
    <n v="52"/>
    <n v="532"/>
    <n v="1"/>
    <n v="0"/>
    <n v="7"/>
    <n v="183471"/>
    <n v="57.4"/>
    <n v="63"/>
    <n v="57.4"/>
    <n v="502"/>
    <n v="1"/>
    <n v="120"/>
    <s v="PP"/>
    <n v="525"/>
    <n v="63.84"/>
    <x v="253"/>
    <n v="1.0597609561752988"/>
    <n v="4"/>
    <x v="1"/>
    <x v="4"/>
    <x v="253"/>
    <n v="1"/>
  </r>
  <r>
    <d v="2022-07-06T00:00:00"/>
    <x v="2"/>
    <s v="Lautaro"/>
    <x v="4"/>
    <s v="02PZ0314"/>
    <x v="35"/>
    <n v="41"/>
    <n v="520"/>
    <n v="1"/>
    <n v="0"/>
    <n v="15"/>
    <n v="183471"/>
    <n v="35"/>
    <n v="103"/>
    <n v="35"/>
    <n v="824"/>
    <n v="1"/>
    <n v="110"/>
    <s v="PP"/>
    <n v="505"/>
    <n v="57.2"/>
    <x v="254"/>
    <n v="0.6310679611650486"/>
    <n v="4"/>
    <x v="1"/>
    <x v="4"/>
    <x v="254"/>
    <n v="1"/>
  </r>
  <r>
    <d v="2022-07-04T00:00:00"/>
    <x v="0"/>
    <s v="Matias"/>
    <x v="0"/>
    <s v="02PZ0316"/>
    <x v="2"/>
    <n v="36"/>
    <n v="732"/>
    <n v="1"/>
    <m/>
    <n v="30"/>
    <n v="183471"/>
    <n v="30"/>
    <n v="120"/>
    <n v="30"/>
    <n v="960"/>
    <n v="1"/>
    <n v="20"/>
    <s v="PP"/>
    <n v="702"/>
    <n v="14.64"/>
    <x v="255"/>
    <n v="0.76249999999999996"/>
    <n v="2"/>
    <x v="1"/>
    <x v="4"/>
    <x v="255"/>
    <n v="1"/>
  </r>
  <r>
    <d v="2022-07-04T00:00:00"/>
    <x v="0"/>
    <s v="Matias"/>
    <x v="1"/>
    <s v="02PZ0303"/>
    <x v="9"/>
    <n v="31"/>
    <n v="851"/>
    <n v="6"/>
    <m/>
    <n v="150"/>
    <n v="183471"/>
    <n v="4.75"/>
    <n v="752"/>
    <n v="38"/>
    <n v="758"/>
    <n v="8"/>
    <n v="2.8"/>
    <s v="PP"/>
    <n v="4956"/>
    <n v="2.3827999999999996"/>
    <x v="177"/>
    <n v="1.1226912928759893"/>
    <n v="2"/>
    <x v="1"/>
    <x v="4"/>
    <x v="177"/>
    <n v="1"/>
  </r>
  <r>
    <d v="2022-07-04T00:00:00"/>
    <x v="0"/>
    <s v="Brian"/>
    <x v="2"/>
    <s v="02PZ0321"/>
    <x v="21"/>
    <n v="53"/>
    <n v="501"/>
    <n v="1"/>
    <n v="6"/>
    <n v="3"/>
    <n v="183471"/>
    <n v="48"/>
    <n v="75"/>
    <n v="48"/>
    <n v="600"/>
    <n v="1"/>
    <n v="115"/>
    <s v="PP"/>
    <n v="492"/>
    <n v="57.615000000000002"/>
    <x v="256"/>
    <n v="0.83499999999999996"/>
    <n v="2"/>
    <x v="1"/>
    <x v="4"/>
    <x v="256"/>
    <n v="1"/>
  </r>
  <r>
    <d v="2022-07-04T00:00:00"/>
    <x v="0"/>
    <s v="Brian"/>
    <x v="3"/>
    <s v="02PZ0311"/>
    <x v="33"/>
    <n v="48"/>
    <n v="549"/>
    <n v="1"/>
    <n v="15"/>
    <n v="5"/>
    <n v="183471"/>
    <n v="57.4"/>
    <n v="63"/>
    <n v="57.4"/>
    <n v="502"/>
    <n v="1"/>
    <n v="120"/>
    <s v="PP"/>
    <n v="529"/>
    <n v="65.88"/>
    <x v="255"/>
    <n v="1.093625498007968"/>
    <n v="2"/>
    <x v="1"/>
    <x v="4"/>
    <x v="255"/>
    <n v="1"/>
  </r>
  <r>
    <d v="2022-07-04T00:00:00"/>
    <x v="0"/>
    <s v="Matias"/>
    <x v="4"/>
    <s v="02PZ0314"/>
    <x v="35"/>
    <n v="41"/>
    <n v="500"/>
    <n v="1"/>
    <n v="10"/>
    <n v="5"/>
    <n v="183471"/>
    <n v="35"/>
    <n v="103"/>
    <n v="35"/>
    <n v="824"/>
    <n v="1"/>
    <n v="110"/>
    <s v="PP"/>
    <n v="485"/>
    <n v="55"/>
    <x v="190"/>
    <n v="0.60679611650485432"/>
    <n v="2"/>
    <x v="1"/>
    <x v="4"/>
    <x v="190"/>
    <n v="1"/>
  </r>
  <r>
    <d v="2022-07-04T00:00:00"/>
    <x v="1"/>
    <s v="Gustavo"/>
    <x v="0"/>
    <s v="02PZ03405"/>
    <x v="6"/>
    <m/>
    <m/>
    <m/>
    <m/>
    <m/>
    <m/>
    <n v="0"/>
    <n v="0"/>
    <n v="0"/>
    <n v="0"/>
    <n v="0"/>
    <n v="0"/>
    <n v="0"/>
    <n v="0"/>
    <n v="0"/>
    <x v="1"/>
    <n v="0"/>
    <n v="2"/>
    <x v="1"/>
    <x v="4"/>
    <x v="1"/>
    <n v="0"/>
  </r>
  <r>
    <d v="2022-07-04T00:00:00"/>
    <x v="1"/>
    <s v="Gustavo"/>
    <x v="1"/>
    <s v="02PZ03405"/>
    <x v="6"/>
    <m/>
    <m/>
    <m/>
    <m/>
    <m/>
    <m/>
    <n v="0"/>
    <n v="0"/>
    <n v="0"/>
    <n v="0"/>
    <n v="0"/>
    <n v="0"/>
    <n v="0"/>
    <n v="0"/>
    <n v="0"/>
    <x v="1"/>
    <n v="0"/>
    <n v="2"/>
    <x v="1"/>
    <x v="4"/>
    <x v="1"/>
    <n v="0"/>
  </r>
  <r>
    <d v="2022-07-04T00:00:00"/>
    <x v="1"/>
    <s v="Julian"/>
    <x v="2"/>
    <s v="02PZ0321"/>
    <x v="21"/>
    <n v="53"/>
    <n v="509"/>
    <n v="1"/>
    <n v="7"/>
    <n v="4"/>
    <n v="183471"/>
    <n v="48"/>
    <n v="75"/>
    <n v="48"/>
    <n v="600"/>
    <n v="1"/>
    <n v="115"/>
    <s v="PP"/>
    <n v="498"/>
    <n v="58.534999999999997"/>
    <x v="257"/>
    <n v="0.84833333333333338"/>
    <n v="2"/>
    <x v="1"/>
    <x v="4"/>
    <x v="257"/>
    <n v="1"/>
  </r>
  <r>
    <d v="2022-07-04T00:00:00"/>
    <x v="1"/>
    <s v="Julian"/>
    <x v="3"/>
    <s v="02PZ0311"/>
    <x v="33"/>
    <n v="48"/>
    <n v="520"/>
    <n v="1"/>
    <n v="25"/>
    <n v="5"/>
    <n v="183471"/>
    <n v="57.4"/>
    <n v="63"/>
    <n v="57.4"/>
    <n v="502"/>
    <n v="1"/>
    <n v="120"/>
    <s v="PP"/>
    <n v="490"/>
    <n v="62.4"/>
    <x v="28"/>
    <n v="1.0358565737051793"/>
    <n v="2"/>
    <x v="1"/>
    <x v="4"/>
    <x v="28"/>
    <n v="1"/>
  </r>
  <r>
    <d v="2022-07-04T00:00:00"/>
    <x v="1"/>
    <s v="Gustavo"/>
    <x v="4"/>
    <s v="02PZ03405"/>
    <x v="6"/>
    <m/>
    <m/>
    <m/>
    <m/>
    <m/>
    <m/>
    <n v="0"/>
    <n v="0"/>
    <n v="0"/>
    <n v="0"/>
    <n v="0"/>
    <n v="0"/>
    <n v="0"/>
    <n v="0"/>
    <n v="0"/>
    <x v="1"/>
    <n v="0"/>
    <n v="2"/>
    <x v="1"/>
    <x v="4"/>
    <x v="1"/>
    <n v="0"/>
  </r>
  <r>
    <d v="2022-07-04T00:00:00"/>
    <x v="2"/>
    <s v="Gaston"/>
    <x v="0"/>
    <s v="02PZ0316"/>
    <x v="2"/>
    <n v="31.3"/>
    <n v="765"/>
    <n v="1"/>
    <m/>
    <n v="35"/>
    <n v="183471"/>
    <n v="30"/>
    <n v="120"/>
    <n v="30"/>
    <n v="960"/>
    <n v="1"/>
    <n v="20"/>
    <s v="PP"/>
    <n v="730"/>
    <n v="15.3"/>
    <x v="258"/>
    <n v="0.796875"/>
    <n v="2"/>
    <x v="1"/>
    <x v="4"/>
    <x v="258"/>
    <n v="1"/>
  </r>
  <r>
    <d v="2022-07-04T00:00:00"/>
    <x v="2"/>
    <s v="Lautaro"/>
    <x v="1"/>
    <s v="02PZ0303"/>
    <x v="9"/>
    <n v="31.1"/>
    <n v="837"/>
    <n v="6"/>
    <m/>
    <n v="150"/>
    <n v="183471"/>
    <n v="4.75"/>
    <n v="752"/>
    <n v="38"/>
    <n v="758"/>
    <n v="8"/>
    <n v="2.8"/>
    <s v="PP"/>
    <n v="4872"/>
    <n v="2.3435999999999999"/>
    <x v="259"/>
    <n v="1.104221635883905"/>
    <n v="2"/>
    <x v="1"/>
    <x v="4"/>
    <x v="259"/>
    <n v="1"/>
  </r>
  <r>
    <d v="2022-07-04T00:00:00"/>
    <x v="2"/>
    <s v="Lucas"/>
    <x v="2"/>
    <s v="02PZ0321"/>
    <x v="21"/>
    <n v="53"/>
    <n v="455"/>
    <n v="1"/>
    <n v="6"/>
    <n v="3"/>
    <n v="183471"/>
    <n v="48"/>
    <n v="75"/>
    <n v="48"/>
    <n v="600"/>
    <n v="1"/>
    <n v="115"/>
    <s v="PP"/>
    <n v="446"/>
    <n v="52.325000000000003"/>
    <x v="260"/>
    <n v="0.7583333333333333"/>
    <n v="2"/>
    <x v="1"/>
    <x v="4"/>
    <x v="260"/>
    <n v="1"/>
  </r>
  <r>
    <d v="2022-07-04T00:00:00"/>
    <x v="2"/>
    <s v="Gaston"/>
    <x v="3"/>
    <s v="02PZ0311"/>
    <x v="33"/>
    <n v="48"/>
    <n v="510"/>
    <n v="1"/>
    <n v="20"/>
    <n v="5"/>
    <n v="183471"/>
    <n v="57.4"/>
    <n v="63"/>
    <n v="57.4"/>
    <n v="502"/>
    <n v="1"/>
    <n v="120"/>
    <s v="PP"/>
    <n v="485"/>
    <n v="61.2"/>
    <x v="261"/>
    <n v="1.0159362549800797"/>
    <n v="2"/>
    <x v="1"/>
    <x v="4"/>
    <x v="261"/>
    <n v="1"/>
  </r>
  <r>
    <d v="2022-07-04T00:00:00"/>
    <x v="2"/>
    <s v="Lautaro"/>
    <x v="4"/>
    <s v="02PZ0314"/>
    <x v="35"/>
    <n v="41"/>
    <n v="500"/>
    <n v="1"/>
    <n v="10"/>
    <n v="5"/>
    <n v="183471"/>
    <n v="35"/>
    <n v="103"/>
    <n v="35"/>
    <n v="824"/>
    <n v="1"/>
    <n v="110"/>
    <s v="PP"/>
    <n v="485"/>
    <n v="55"/>
    <x v="190"/>
    <n v="0.60679611650485432"/>
    <n v="2"/>
    <x v="1"/>
    <x v="4"/>
    <x v="190"/>
    <n v="1"/>
  </r>
  <r>
    <d v="2022-07-01T00:00:00"/>
    <x v="0"/>
    <s v="Matias"/>
    <x v="0"/>
    <s v="02PZ0316"/>
    <x v="2"/>
    <n v="30"/>
    <n v="1050"/>
    <n v="1"/>
    <m/>
    <n v="30"/>
    <n v="183471"/>
    <n v="30"/>
    <n v="120"/>
    <n v="30"/>
    <n v="960"/>
    <n v="1"/>
    <n v="20"/>
    <s v="PP"/>
    <n v="1020"/>
    <n v="21"/>
    <x v="262"/>
    <n v="1.09375"/>
    <n v="6"/>
    <x v="1"/>
    <x v="0"/>
    <x v="262"/>
    <n v="1"/>
  </r>
  <r>
    <d v="2022-07-01T00:00:00"/>
    <x v="0"/>
    <s v="Brian"/>
    <x v="2"/>
    <s v="02PZ0321"/>
    <x v="21"/>
    <n v="45"/>
    <n v="503"/>
    <n v="1"/>
    <n v="6"/>
    <n v="3"/>
    <n v="184119"/>
    <n v="48"/>
    <n v="75"/>
    <n v="48"/>
    <n v="600"/>
    <n v="1"/>
    <n v="115"/>
    <s v="PP"/>
    <n v="494"/>
    <n v="57.844999999999999"/>
    <x v="263"/>
    <n v="0.83833333333333337"/>
    <n v="6"/>
    <x v="1"/>
    <x v="0"/>
    <x v="263"/>
    <n v="1"/>
  </r>
  <r>
    <d v="2022-07-01T00:00:00"/>
    <x v="0"/>
    <s v="Matias"/>
    <x v="1"/>
    <s v="02PZ0303"/>
    <x v="9"/>
    <n v="31"/>
    <n v="780"/>
    <n v="6"/>
    <m/>
    <n v="150"/>
    <n v="183471"/>
    <n v="4.75"/>
    <n v="752"/>
    <n v="38"/>
    <n v="758"/>
    <n v="8"/>
    <n v="2.8"/>
    <s v="PP"/>
    <n v="4530"/>
    <n v="2.1840000000000002"/>
    <x v="231"/>
    <n v="1.029023746701847"/>
    <n v="6"/>
    <x v="1"/>
    <x v="0"/>
    <x v="231"/>
    <n v="1"/>
  </r>
  <r>
    <d v="2022-07-01T00:00:00"/>
    <x v="0"/>
    <s v="Brian"/>
    <x v="3"/>
    <s v="02PZ0311"/>
    <x v="33"/>
    <n v="48"/>
    <n v="500"/>
    <n v="1"/>
    <n v="20"/>
    <n v="5"/>
    <n v="184119"/>
    <n v="57.4"/>
    <n v="63"/>
    <n v="57.4"/>
    <n v="502"/>
    <n v="1"/>
    <n v="120"/>
    <s v="PP"/>
    <n v="475"/>
    <n v="60"/>
    <x v="162"/>
    <n v="0.99601593625498008"/>
    <n v="6"/>
    <x v="1"/>
    <x v="0"/>
    <x v="162"/>
    <n v="1"/>
  </r>
  <r>
    <d v="2022-07-01T00:00:00"/>
    <x v="0"/>
    <s v="Matias"/>
    <x v="4"/>
    <s v="02PZ0314"/>
    <x v="35"/>
    <n v="40.6"/>
    <n v="500"/>
    <n v="1"/>
    <n v="10"/>
    <n v="5"/>
    <n v="184119"/>
    <n v="35"/>
    <n v="103"/>
    <n v="35"/>
    <n v="824"/>
    <n v="1"/>
    <n v="110"/>
    <s v="PP"/>
    <n v="485"/>
    <n v="55"/>
    <x v="264"/>
    <n v="0.60679611650485432"/>
    <n v="6"/>
    <x v="1"/>
    <x v="0"/>
    <x v="264"/>
    <n v="1"/>
  </r>
  <r>
    <d v="2022-07-01T00:00:00"/>
    <x v="1"/>
    <s v="Julian"/>
    <x v="3"/>
    <s v="02PZ0311"/>
    <x v="33"/>
    <n v="48"/>
    <n v="500"/>
    <n v="1"/>
    <n v="10"/>
    <n v="5"/>
    <n v="184119"/>
    <n v="57.4"/>
    <n v="63"/>
    <n v="57.4"/>
    <n v="502"/>
    <n v="1"/>
    <n v="120"/>
    <s v="PP"/>
    <n v="485"/>
    <n v="60"/>
    <x v="162"/>
    <n v="0.99601593625498008"/>
    <n v="6"/>
    <x v="1"/>
    <x v="0"/>
    <x v="162"/>
    <n v="1"/>
  </r>
  <r>
    <d v="2022-07-01T00:00:00"/>
    <x v="1"/>
    <s v="Gustavo"/>
    <x v="0"/>
    <s v="02PZ0316"/>
    <x v="2"/>
    <n v="30"/>
    <n v="866"/>
    <n v="1"/>
    <m/>
    <n v="20"/>
    <n v="184119"/>
    <n v="30"/>
    <n v="120"/>
    <n v="30"/>
    <n v="960"/>
    <n v="1"/>
    <n v="20"/>
    <s v="PP"/>
    <n v="846"/>
    <n v="17.32"/>
    <x v="265"/>
    <n v="0.90208333333333335"/>
    <n v="6"/>
    <x v="1"/>
    <x v="0"/>
    <x v="265"/>
    <n v="1"/>
  </r>
  <r>
    <d v="2022-07-01T00:00:00"/>
    <x v="1"/>
    <s v="Gustavo"/>
    <x v="1"/>
    <s v="02PZ0303"/>
    <x v="9"/>
    <n v="31.1"/>
    <n v="687"/>
    <n v="6"/>
    <m/>
    <n v="100"/>
    <n v="184119"/>
    <n v="4.75"/>
    <n v="752"/>
    <n v="38"/>
    <n v="758"/>
    <n v="8"/>
    <n v="2.8"/>
    <s v="PP"/>
    <n v="4022"/>
    <n v="1.9236"/>
    <x v="266"/>
    <n v="0.90633245382585748"/>
    <n v="6"/>
    <x v="1"/>
    <x v="0"/>
    <x v="266"/>
    <n v="1"/>
  </r>
  <r>
    <d v="2022-07-01T00:00:00"/>
    <x v="1"/>
    <s v="Julian"/>
    <x v="2"/>
    <s v="02PZ0321"/>
    <x v="21"/>
    <n v="45.2"/>
    <n v="312"/>
    <n v="1"/>
    <n v="6"/>
    <n v="3"/>
    <n v="184119"/>
    <n v="48"/>
    <n v="75"/>
    <n v="48"/>
    <n v="600"/>
    <n v="1"/>
    <n v="115"/>
    <s v="PP"/>
    <n v="303"/>
    <n v="35.880000000000003"/>
    <x v="267"/>
    <n v="0.52"/>
    <n v="6"/>
    <x v="1"/>
    <x v="0"/>
    <x v="267"/>
    <n v="1"/>
  </r>
  <r>
    <d v="2022-07-01T00:00:00"/>
    <x v="1"/>
    <s v="Gustavo"/>
    <x v="4"/>
    <s v="02PZ0314"/>
    <x v="35"/>
    <n v="40.6"/>
    <n v="500"/>
    <n v="1"/>
    <n v="10"/>
    <n v="5"/>
    <n v="184119"/>
    <n v="35"/>
    <n v="103"/>
    <n v="35"/>
    <n v="824"/>
    <n v="1"/>
    <n v="110"/>
    <s v="PP"/>
    <n v="485"/>
    <n v="55"/>
    <x v="264"/>
    <n v="0.60679611650485432"/>
    <n v="6"/>
    <x v="1"/>
    <x v="0"/>
    <x v="264"/>
    <n v="1"/>
  </r>
  <r>
    <d v="2022-07-01T00:00:00"/>
    <x v="2"/>
    <s v="Gaston"/>
    <x v="0"/>
    <s v="02PZ0316"/>
    <x v="2"/>
    <n v="22"/>
    <n v="1129"/>
    <n v="1"/>
    <m/>
    <n v="30"/>
    <n v="184119"/>
    <n v="30"/>
    <n v="120"/>
    <n v="30"/>
    <n v="960"/>
    <n v="1"/>
    <n v="20"/>
    <s v="PP"/>
    <n v="1099"/>
    <n v="22.58"/>
    <x v="268"/>
    <n v="1.1760416666666667"/>
    <n v="6"/>
    <x v="1"/>
    <x v="0"/>
    <x v="268"/>
    <n v="1"/>
  </r>
  <r>
    <d v="2022-07-01T00:00:00"/>
    <x v="2"/>
    <s v="Lautaro"/>
    <x v="1"/>
    <s v="02PZ0303"/>
    <x v="9"/>
    <n v="31"/>
    <n v="867"/>
    <n v="6"/>
    <m/>
    <n v="150"/>
    <n v="184119"/>
    <n v="4.75"/>
    <n v="752"/>
    <n v="38"/>
    <n v="758"/>
    <n v="8"/>
    <n v="2.8"/>
    <s v="PP"/>
    <n v="5052"/>
    <n v="2.4276"/>
    <x v="269"/>
    <n v="1.1437994722955145"/>
    <n v="6"/>
    <x v="1"/>
    <x v="0"/>
    <x v="269"/>
    <n v="1"/>
  </r>
  <r>
    <d v="2022-07-01T00:00:00"/>
    <x v="2"/>
    <s v="Lucas"/>
    <x v="2"/>
    <s v="02PZ0321"/>
    <x v="21"/>
    <n v="47"/>
    <n v="609"/>
    <n v="1"/>
    <n v="6"/>
    <n v="3"/>
    <n v="184119"/>
    <n v="48"/>
    <n v="75"/>
    <n v="48"/>
    <n v="600"/>
    <n v="1"/>
    <n v="115"/>
    <s v="PP"/>
    <n v="600"/>
    <n v="70.034999999999997"/>
    <x v="137"/>
    <n v="1.0149999999999999"/>
    <n v="6"/>
    <x v="1"/>
    <x v="0"/>
    <x v="137"/>
    <n v="1"/>
  </r>
  <r>
    <d v="2022-07-01T00:00:00"/>
    <x v="2"/>
    <s v="Gaston"/>
    <x v="3"/>
    <s v="02PZ0311"/>
    <x v="33"/>
    <n v="48"/>
    <n v="472"/>
    <n v="1"/>
    <n v="20"/>
    <n v="5"/>
    <n v="184119"/>
    <n v="57.4"/>
    <n v="63"/>
    <n v="57.4"/>
    <n v="502"/>
    <n v="1"/>
    <n v="120"/>
    <s v="PP"/>
    <n v="447"/>
    <n v="56.64"/>
    <x v="270"/>
    <n v="0.94023904382470125"/>
    <n v="6"/>
    <x v="1"/>
    <x v="0"/>
    <x v="270"/>
    <n v="1"/>
  </r>
  <r>
    <d v="2022-07-01T00:00:00"/>
    <x v="2"/>
    <s v="Lautaro"/>
    <x v="4"/>
    <s v="02PZ0314"/>
    <x v="35"/>
    <n v="40.6"/>
    <n v="500"/>
    <n v="1"/>
    <n v="10"/>
    <n v="5"/>
    <n v="184119"/>
    <n v="35"/>
    <n v="103"/>
    <n v="35"/>
    <n v="824"/>
    <n v="1"/>
    <n v="110"/>
    <s v="PP"/>
    <n v="485"/>
    <n v="55"/>
    <x v="264"/>
    <n v="0.60679611650485432"/>
    <n v="6"/>
    <x v="1"/>
    <x v="0"/>
    <x v="264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4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" rowHeaderCaption="Filtrar por turno">
  <location ref="A6:F25" firstHeaderRow="0" firstDataRow="1" firstDataCol="1" rowPageCount="3" colPageCount="1"/>
  <pivotFields count="28">
    <pivotField numFmtId="14" showAll="0"/>
    <pivotField axis="axisRow" showAll="0">
      <items count="4">
        <item x="2"/>
        <item x="0"/>
        <item x="1"/>
        <item t="default"/>
      </items>
    </pivotField>
    <pivotField showAll="0"/>
    <pivotField axis="axisRow" numFmtId="3" showAll="0">
      <items count="6">
        <item x="4"/>
        <item x="3"/>
        <item x="2"/>
        <item x="1"/>
        <item x="0"/>
        <item t="default"/>
      </items>
    </pivotField>
    <pivotField showAll="0"/>
    <pivotField name="Detalle de pieza" axis="axisPage" multipleItemSelectionAllowed="1" showAll="0">
      <items count="37">
        <item x="19"/>
        <item x="7"/>
        <item x="31"/>
        <item x="22"/>
        <item x="11"/>
        <item x="35"/>
        <item x="4"/>
        <item x="34"/>
        <item x="3"/>
        <item x="20"/>
        <item x="15"/>
        <item x="27"/>
        <item x="17"/>
        <item x="9"/>
        <item x="0"/>
        <item x="29"/>
        <item x="21"/>
        <item x="33"/>
        <item x="8"/>
        <item x="28"/>
        <item x="30"/>
        <item x="26"/>
        <item x="6"/>
        <item x="32"/>
        <item x="1"/>
        <item x="16"/>
        <item x="23"/>
        <item x="25"/>
        <item x="13"/>
        <item x="18"/>
        <item x="2"/>
        <item x="10"/>
        <item x="14"/>
        <item x="24"/>
        <item x="12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 defaultSubtotal="0"/>
    <pivotField dataField="1" numFmtId="9" showAll="0"/>
    <pivotField showAll="0"/>
    <pivotField name="Seleccione Mes" axis="axisPage" showAll="0" defaultSubtotal="0">
      <items count="2">
        <item x="1"/>
        <item x="0"/>
      </items>
    </pivotField>
    <pivotField name="Seleccione semana" axis="axisPage" numFmtId="1" showAll="0" defaultSubtotal="0">
      <items count="5">
        <item x="0"/>
        <item x="4"/>
        <item x="3"/>
        <item x="2"/>
        <item x="1"/>
      </items>
    </pivotField>
    <pivotField dataField="1" showAll="0" defaultSubtotal="0"/>
    <pivotField dataField="1" numFmtId="1" showAll="0" defaultSubtotal="0"/>
  </pivotFields>
  <rowFields count="2">
    <field x="1"/>
    <field x="3"/>
  </rowFields>
  <rowItems count="19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3">
    <pageField fld="24" item="0" hier="-1"/>
    <pageField fld="25" hier="-1"/>
    <pageField fld="5" hier="-1"/>
  </pageFields>
  <dataFields count="5">
    <dataField name="HS.MÁQUINA" fld="21" baseField="3" baseItem="0" numFmtId="1"/>
    <dataField name="Eficacia productiva" fld="22" subtotal="average" baseField="3" baseItem="0" numFmtId="9"/>
    <dataField name="EFICIENCIA EN HORAS MAQUINA" fld="26" subtotal="average" baseField="3" baseItem="0" numFmtId="10"/>
    <dataField name="Promedio de ASISTENCIA" fld="27" subtotal="average" baseField="3" baseItem="0" numFmtId="10"/>
    <dataField name="PIEZAS FABRICADAS" fld="19" baseField="0" baseItem="0"/>
  </dataFields>
  <formats count="7"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1" type="button" dataOnly="0" labelOnly="1" outline="0" axis="axisRow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grandRow="1" outline="0" fieldPosition="0"/>
    </format>
    <format dxfId="41">
      <pivotArea dataOnly="0" labelOnly="1" fieldPosition="0">
        <references count="2">
          <reference field="1" count="1" selected="0">
            <x v="0"/>
          </reference>
          <reference field="3" count="0"/>
        </references>
      </pivotArea>
    </format>
    <format dxfId="4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39">
  <location ref="A10:C13" firstHeaderRow="0" firstDataRow="1" firstDataCol="1" rowPageCount="1" colPageCount="1"/>
  <pivotFields count="28">
    <pivotField numFmtId="14" showAll="0"/>
    <pivotField axis="axisPage" multipleItemSelectionAllowed="1" showAll="0">
      <items count="4">
        <item x="2"/>
        <item x="0"/>
        <item x="1"/>
        <item t="default"/>
      </items>
    </pivotField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9" showAll="0"/>
    <pivotField showAll="0"/>
    <pivotField axis="axisRow" showAll="0">
      <items count="3">
        <item x="1"/>
        <item x="0"/>
        <item t="default"/>
      </items>
    </pivotField>
    <pivotField numFmtId="1" showAll="0"/>
    <pivotField dataField="1" numFmtId="171" showAll="0"/>
    <pivotField numFmtId="1" showAll="0"/>
  </pivotFields>
  <rowFields count="1">
    <field x="2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uma de Hs. Maquina" fld="21" baseField="24" baseItem="1" numFmtId="1"/>
    <dataField name="Promedio de EFICIENCIA HORAS MÁQUINA" fld="26" subtotal="average" baseField="24" baseItem="0" numFmtId="9"/>
  </dataFields>
  <chartFormats count="2">
    <chartFormat chart="3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4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3">
  <location ref="A26:B29" firstHeaderRow="1" firstDataRow="1" firstDataCol="1" rowPageCount="2" colPageCount="1"/>
  <pivotFields count="28">
    <pivotField numFmtId="14" showAll="0"/>
    <pivotField axis="axisPage" showAll="0">
      <items count="4">
        <item x="2"/>
        <item x="0"/>
        <item x="1"/>
        <item t="default"/>
      </items>
    </pivotField>
    <pivotField showAll="0"/>
    <pivotField numFmtId="3" showAll="0"/>
    <pivotField showAll="0"/>
    <pivotField axis="axisPage" multipleItemSelectionAllowed="1" showAll="0">
      <items count="37">
        <item h="1" x="19"/>
        <item h="1" x="7"/>
        <item h="1" x="31"/>
        <item h="1" x="22"/>
        <item h="1" x="11"/>
        <item h="1" x="35"/>
        <item h="1" x="4"/>
        <item h="1" x="34"/>
        <item h="1" x="3"/>
        <item h="1" x="20"/>
        <item h="1" x="15"/>
        <item h="1" x="27"/>
        <item h="1" x="17"/>
        <item h="1" x="9"/>
        <item x="0"/>
        <item h="1" x="29"/>
        <item h="1" x="21"/>
        <item h="1" x="33"/>
        <item h="1" x="8"/>
        <item h="1" x="28"/>
        <item h="1" x="30"/>
        <item h="1" x="26"/>
        <item h="1" x="6"/>
        <item h="1" x="32"/>
        <item h="1" x="1"/>
        <item h="1" x="16"/>
        <item h="1" x="23"/>
        <item h="1" x="25"/>
        <item h="1" x="13"/>
        <item h="1" x="18"/>
        <item h="1" x="2"/>
        <item h="1" x="10"/>
        <item h="1" x="14"/>
        <item h="1" x="24"/>
        <item h="1" x="12"/>
        <item h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numFmtId="9" showAll="0"/>
    <pivotField showAll="0"/>
    <pivotField axis="axisRow" showAll="0">
      <items count="3">
        <item x="1"/>
        <item x="0"/>
        <item t="default"/>
      </items>
    </pivotField>
    <pivotField numFmtId="1" showAll="0"/>
    <pivotField numFmtId="171" showAll="0"/>
    <pivotField numFmtId="1" showAll="0"/>
  </pivotFields>
  <rowFields count="1">
    <field x="24"/>
  </rowFields>
  <rowItems count="3">
    <i>
      <x/>
    </i>
    <i>
      <x v="1"/>
    </i>
    <i t="grand">
      <x/>
    </i>
  </rowItems>
  <colItems count="1">
    <i/>
  </colItems>
  <pageFields count="2">
    <pageField fld="1" hier="-1"/>
    <pageField fld="5" hier="-1"/>
  </pageFields>
  <dataFields count="1">
    <dataField name="Suma de Fabricado" fld="19" baseField="0" baseItem="0"/>
  </dataField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Resumen4" displayName="Resumen4" ref="A15:I55" totalsRowShown="0" headerRowDxfId="142" dataDxfId="140" headerRowBorderDxfId="141" tableBorderDxfId="139">
  <autoFilter ref="A15:I55"/>
  <tableColumns count="9">
    <tableColumn id="1" name="Código" dataDxfId="138"/>
    <tableColumn id="2" name="Descripción " dataDxfId="137"/>
    <tableColumn id="3" name="T(s) de Pzs" dataDxfId="136"/>
    <tableColumn id="4" name="Pzs x Hs" dataDxfId="135"/>
    <tableColumn id="9" name="Peso (gr)" dataDxfId="134">
      <calculatedColumnFormula>IF(A16="","",VLOOKUP(A16,'Base Datos'!$A$2:$S$33,8,FALSE))</calculatedColumnFormula>
    </tableColumn>
    <tableColumn id="5" name="Plan Actual" dataDxfId="133"/>
    <tableColumn id="6" name="Plan Futuro" dataDxfId="132">
      <calculatedColumnFormula>SUMIF(Tabla!E1:E380,Resumen4[Código],Tabla!T1:T380)</calculatedColumnFormula>
    </tableColumn>
    <tableColumn id="7" name="Hs. Futuro" dataDxfId="131">
      <calculatedColumnFormula>Resumen4[[#This Row],[Plan Actual]]-Resumen4[[#This Row],[Plan Futuro]]</calculatedColumnFormula>
    </tableColumn>
    <tableColumn id="8" name="M.P. Futura" dataDxfId="130">
      <calculatedColumnFormula>SUMIF(Entrada1[Turno],Resumen4[Código],Entrada1[Codigo])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Entregada1" displayName="Entregada1" ref="A3:W5" totalsRowShown="0" headerRowDxfId="129" dataDxfId="128">
  <tableColumns count="23">
    <tableColumn id="1" name="Fecha" dataDxfId="127"/>
    <tableColumn id="2" name="Turno" dataDxfId="126"/>
    <tableColumn id="3" name="Operador" dataDxfId="125"/>
    <tableColumn id="4" name="Maquina" dataDxfId="124"/>
    <tableColumn id="5" name="Codigo" dataDxfId="123"/>
    <tableColumn id="6" name="Descripción " dataDxfId="122">
      <calculatedColumnFormula>IF(E4="","",VLOOKUP(E4,'Base Datos'!$A$2:$M$150,2,FALSE))</calculatedColumnFormula>
    </tableColumn>
    <tableColumn id="7" name="Ciclo (s)" dataDxfId="121"/>
    <tableColumn id="8" name="Ciclos" dataDxfId="120"/>
    <tableColumn id="9" name="Cavidad" dataDxfId="119"/>
    <tableColumn id="10" name="2 ºda" dataDxfId="118"/>
    <tableColumn id="11" name="Scrap" dataDxfId="117"/>
    <tableColumn id="12" name="Nº Lote" dataDxfId="116"/>
    <tableColumn id="13" name="T(s) de Pzs2" dataDxfId="115">
      <calculatedColumnFormula>IF(E4="","",VLOOKUP(E4,'Base Datos'!$A$2:$M$150,3,FALSE))</calculatedColumnFormula>
    </tableColumn>
    <tableColumn id="14" name="Pzs x Hs" dataDxfId="114">
      <calculatedColumnFormula>IF(E4="","",VLOOKUP(E4,'Base Datos'!$A$2:$M$150,4,FALSE))</calculatedColumnFormula>
    </tableColumn>
    <tableColumn id="15" name="T(s) de Ciclo" dataDxfId="113">
      <calculatedColumnFormula>IF(E4="","",VLOOKUP(E4,'Base Datos'!$A$2:$M$150,5,FALSE))</calculatedColumnFormula>
    </tableColumn>
    <tableColumn id="16" name="Ciclos x Turno" dataDxfId="112">
      <calculatedColumnFormula>IF(E4="","",VLOOKUP(E4,'Base Datos'!$A$2:$M$150,6,FALSE))</calculatedColumnFormula>
    </tableColumn>
    <tableColumn id="17" name="Cavidades " dataDxfId="111">
      <calculatedColumnFormula>IF(E4="","",VLOOKUP(E4,'Base Datos'!$A$2:$M$150,7,FALSE))</calculatedColumnFormula>
    </tableColumn>
    <tableColumn id="18" name="Peso (gr)" dataDxfId="110">
      <calculatedColumnFormula>IF(E4="","",VLOOKUP(E4,'Base Datos'!$A$2:$M$150,8,FALSE))</calculatedColumnFormula>
    </tableColumn>
    <tableColumn id="19" name="Material" dataDxfId="109">
      <calculatedColumnFormula>IF(E4="","",VLOOKUP(E4,'Base Datos'!$A$2:$M$150,9,FALSE))</calculatedColumnFormula>
    </tableColumn>
    <tableColumn id="20" name="Cant. Fabricada" dataDxfId="108">
      <calculatedColumnFormula>IF(E4="","",(H4*I4)-(J4+K4))</calculatedColumnFormula>
    </tableColumn>
    <tableColumn id="21" name="Material (Kg)" dataDxfId="107">
      <calculatedColumnFormula>IF(E4="","",(I4*R4)/1000)</calculatedColumnFormula>
    </tableColumn>
    <tableColumn id="22" name="Hs. Maquinas" dataDxfId="106"/>
    <tableColumn id="23" name="Eficacia" dataDxfId="105">
      <calculatedColumnFormula>IFERROR(IF(E4="","",(H4/P4)),0)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Entregada15" displayName="Entregada15" ref="A10:W11" totalsRowShown="0" headerRowDxfId="104" dataDxfId="103">
  <tableColumns count="23">
    <tableColumn id="1" name="Fecha" dataDxfId="102"/>
    <tableColumn id="2" name="Turno" dataDxfId="101"/>
    <tableColumn id="3" name="Operador" dataDxfId="100"/>
    <tableColumn id="4" name="Maquina" dataDxfId="99"/>
    <tableColumn id="5" name="Codigo" dataDxfId="98"/>
    <tableColumn id="6" name="Descripción " dataDxfId="97"/>
    <tableColumn id="7" name="Ciclo (s)" dataDxfId="96"/>
    <tableColumn id="8" name="Ciclos" dataDxfId="95"/>
    <tableColumn id="9" name="Cavidad" dataDxfId="94"/>
    <tableColumn id="10" name="2 ºda" dataDxfId="93"/>
    <tableColumn id="11" name="Scrap" dataDxfId="92"/>
    <tableColumn id="12" name="Nº Lote" dataDxfId="91"/>
    <tableColumn id="13" name="T(s) de Pzs2" dataDxfId="90"/>
    <tableColumn id="14" name="Pzs x Hs" dataDxfId="89"/>
    <tableColumn id="15" name="T(s) de Ciclo" dataDxfId="88"/>
    <tableColumn id="16" name="Ciclos x Turno" dataDxfId="87"/>
    <tableColumn id="17" name="Cavidades " dataDxfId="86"/>
    <tableColumn id="18" name="Peso (gr)" dataDxfId="85"/>
    <tableColumn id="19" name="Material" dataDxfId="84"/>
    <tableColumn id="20" name="Cant. Fabricada" dataDxfId="83"/>
    <tableColumn id="21" name="Material (Kg)" dataDxfId="82"/>
    <tableColumn id="22" name="Hs. Maquinas" dataDxfId="81"/>
    <tableColumn id="23" name="Eficacia" dataDxfId="8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Entrada1" displayName="Entrada1" ref="A1:AB381" totalsRowCount="1" headerRowDxfId="79" dataDxfId="77" totalsRowDxfId="75" headerRowBorderDxfId="78" tableBorderDxfId="76">
  <tableColumns count="28">
    <tableColumn id="1" name="Fecha" dataDxfId="74" totalsRowDxfId="27"/>
    <tableColumn id="2" name="Turno" dataDxfId="73" totalsRowDxfId="26"/>
    <tableColumn id="3" name="Operador" dataDxfId="72" totalsRowDxfId="25"/>
    <tableColumn id="4" name="Maquina" dataDxfId="71" totalsRowDxfId="24"/>
    <tableColumn id="5" name="Codigo" dataDxfId="70" totalsRowDxfId="23"/>
    <tableColumn id="6" name="Detalle" dataDxfId="69" totalsRowDxfId="22"/>
    <tableColumn id="7" name="Ciclo (s)" dataDxfId="68" totalsRowDxfId="21"/>
    <tableColumn id="8" name="Ciclos" dataDxfId="67" totalsRowDxfId="20"/>
    <tableColumn id="9" name="Cavidad" dataDxfId="66" totalsRowDxfId="19"/>
    <tableColumn id="10" name="2 ºda" dataDxfId="65" totalsRowDxfId="18"/>
    <tableColumn id="11" name="Scrap" dataDxfId="64" totalsRowDxfId="17"/>
    <tableColumn id="12" name="Nº Lote" dataDxfId="63" totalsRowDxfId="16"/>
    <tableColumn id="13" name="T(s) de Pzs2" dataDxfId="62" totalsRowDxfId="15"/>
    <tableColumn id="14" name="Pzs x Hs" dataDxfId="61" totalsRowDxfId="14"/>
    <tableColumn id="15" name="T(s) de Ciclo" dataDxfId="60" totalsRowDxfId="13"/>
    <tableColumn id="16" name="Ciclos x Turno" dataDxfId="59" totalsRowDxfId="12"/>
    <tableColumn id="17" name="Cavidades " dataDxfId="58" totalsRowDxfId="11"/>
    <tableColumn id="18" name="Peso (gr)" dataDxfId="57" totalsRowDxfId="10"/>
    <tableColumn id="19" name="Material" dataDxfId="56" totalsRowDxfId="9"/>
    <tableColumn id="20" name="Fabricado" totalsRowFunction="sum" dataDxfId="55" totalsRowDxfId="8"/>
    <tableColumn id="21" name="Material (Kg)" dataDxfId="54" totalsRowDxfId="7"/>
    <tableColumn id="22" name="Hs. Maquina" dataDxfId="53" totalsRowDxfId="6">
      <calculatedColumnFormula>IF(G2="",0,(G2*H2)/3600)</calculatedColumnFormula>
    </tableColumn>
    <tableColumn id="23" name="Eficacia" dataDxfId="52" totalsRowDxfId="5">
      <calculatedColumnFormula>IFERROR(IF(E2="","",(H2/P2)),0)</calculatedColumnFormula>
    </tableColumn>
    <tableColumn id="24" name="COD.DIA" dataDxfId="51" totalsRowDxfId="4">
      <calculatedColumnFormula>WEEKDAY(A2,1)</calculatedColumnFormula>
    </tableColumn>
    <tableColumn id="26" name="MES" dataDxfId="50" totalsRowDxfId="3">
      <calculatedColumnFormula>MONTH(A2)</calculatedColumnFormula>
    </tableColumn>
    <tableColumn id="27" name="SEM.DEL MES" dataDxfId="49" totalsRowDxfId="2">
      <calculatedColumnFormula>WEEKNUM(A2)-WEEKNUM(DATE(YEAR(A2),MONTH(A2),1))+1</calculatedColumnFormula>
    </tableColumn>
    <tableColumn id="28" name="EFICIENCIA HORAS MÁQUINA" dataDxfId="48" totalsRowDxfId="1">
      <calculatedColumnFormula>IF(V2="",0,V2/8)</calculatedColumnFormula>
    </tableColumn>
    <tableColumn id="29" name="ASISTENCIAS" dataDxfId="47" totalsRowDxfId="0">
      <calculatedColumnFormula>IF(E2="02PZ03405",0,1)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Resumen" displayName="Resumen" ref="A3:H35" totalsRowShown="0" headerRowDxfId="39" dataDxfId="37" headerRowBorderDxfId="38" tableBorderDxfId="36">
  <autoFilter ref="A3:H35"/>
  <tableColumns count="8">
    <tableColumn id="1" name="Código" dataDxfId="35"/>
    <tableColumn id="2" name="Descripción " dataDxfId="34"/>
    <tableColumn id="3" name="Stock" dataDxfId="33"/>
    <tableColumn id="4" name="P.Ped." dataDxfId="32"/>
    <tableColumn id="5" name="Plan" dataDxfId="31"/>
    <tableColumn id="6" name="Fabricado" dataDxfId="30">
      <calculatedColumnFormula>SUMIF(Tabla!E1:E380,Resumen[Código],Tabla!T1:T380)</calculatedColumnFormula>
    </tableColumn>
    <tableColumn id="7" name="Saldo" dataDxfId="29">
      <calculatedColumnFormula>Resumen[[#This Row],[Plan]]-Resumen[[#This Row],[Fabricado]]</calculatedColumnFormula>
    </tableColumn>
    <tableColumn id="8" name="% Cumplido" dataDxfId="28">
      <calculatedColumnFormula>SUMIF(Entrada1[Turno],Resumen[Código],Entrada1[Codigo])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49"/>
  <sheetViews>
    <sheetView workbookViewId="0"/>
  </sheetViews>
  <sheetFormatPr baseColWidth="10" defaultRowHeight="15" x14ac:dyDescent="0.25"/>
  <cols>
    <col min="2" max="2" width="15" bestFit="1" customWidth="1"/>
    <col min="3" max="3" width="11.85546875" bestFit="1" customWidth="1"/>
  </cols>
  <sheetData>
    <row r="1" spans="1:2" x14ac:dyDescent="0.25">
      <c r="A1" s="35" t="s">
        <v>108</v>
      </c>
    </row>
    <row r="2" spans="1:2" x14ac:dyDescent="0.25">
      <c r="A2" s="44">
        <v>1</v>
      </c>
      <c r="B2" t="s">
        <v>34</v>
      </c>
    </row>
    <row r="3" spans="1:2" x14ac:dyDescent="0.25">
      <c r="A3" s="44">
        <v>2</v>
      </c>
      <c r="B3" t="s">
        <v>86</v>
      </c>
    </row>
    <row r="4" spans="1:2" x14ac:dyDescent="0.25">
      <c r="A4" s="44">
        <v>3</v>
      </c>
      <c r="B4" t="s">
        <v>87</v>
      </c>
    </row>
    <row r="5" spans="1:2" x14ac:dyDescent="0.25">
      <c r="A5" s="44">
        <v>4</v>
      </c>
      <c r="B5" t="s">
        <v>133</v>
      </c>
    </row>
    <row r="7" spans="1:2" x14ac:dyDescent="0.25">
      <c r="A7" s="35" t="s">
        <v>109</v>
      </c>
    </row>
    <row r="8" spans="1:2" x14ac:dyDescent="0.25">
      <c r="A8" s="44">
        <v>1</v>
      </c>
      <c r="B8" t="s">
        <v>35</v>
      </c>
    </row>
    <row r="9" spans="1:2" x14ac:dyDescent="0.25">
      <c r="A9" s="44">
        <v>2</v>
      </c>
      <c r="B9" t="s">
        <v>88</v>
      </c>
    </row>
    <row r="10" spans="1:2" x14ac:dyDescent="0.25">
      <c r="A10" s="44">
        <v>3</v>
      </c>
      <c r="B10" t="s">
        <v>89</v>
      </c>
    </row>
    <row r="11" spans="1:2" x14ac:dyDescent="0.25">
      <c r="A11" s="44">
        <v>4</v>
      </c>
      <c r="B11" t="s">
        <v>90</v>
      </c>
    </row>
    <row r="12" spans="1:2" x14ac:dyDescent="0.25">
      <c r="A12" s="44">
        <v>5</v>
      </c>
      <c r="B12" t="s">
        <v>91</v>
      </c>
    </row>
    <row r="13" spans="1:2" x14ac:dyDescent="0.25">
      <c r="A13" s="44">
        <v>6</v>
      </c>
      <c r="B13" t="s">
        <v>92</v>
      </c>
    </row>
    <row r="14" spans="1:2" x14ac:dyDescent="0.25">
      <c r="A14" s="44">
        <v>7</v>
      </c>
      <c r="B14" t="s">
        <v>93</v>
      </c>
    </row>
    <row r="15" spans="1:2" x14ac:dyDescent="0.25">
      <c r="A15" s="44">
        <v>8</v>
      </c>
      <c r="B15" t="s">
        <v>110</v>
      </c>
    </row>
    <row r="16" spans="1:2" x14ac:dyDescent="0.25">
      <c r="A16" s="44">
        <v>10</v>
      </c>
      <c r="B16" t="s">
        <v>130</v>
      </c>
    </row>
    <row r="18" spans="1:3" x14ac:dyDescent="0.25">
      <c r="A18" s="35" t="s">
        <v>31</v>
      </c>
      <c r="B18" s="35" t="s">
        <v>129</v>
      </c>
    </row>
    <row r="19" spans="1:3" x14ac:dyDescent="0.25">
      <c r="A19" s="44" t="s">
        <v>126</v>
      </c>
      <c r="B19" s="44">
        <v>1</v>
      </c>
    </row>
    <row r="20" spans="1:3" x14ac:dyDescent="0.25">
      <c r="A20" s="44" t="s">
        <v>127</v>
      </c>
      <c r="B20" s="44">
        <v>2</v>
      </c>
    </row>
    <row r="21" spans="1:3" x14ac:dyDescent="0.25">
      <c r="A21" s="44" t="s">
        <v>128</v>
      </c>
      <c r="B21" s="44">
        <v>3</v>
      </c>
    </row>
    <row r="22" spans="1:3" x14ac:dyDescent="0.25">
      <c r="A22" s="44" t="s">
        <v>127</v>
      </c>
      <c r="B22" s="44">
        <v>4</v>
      </c>
    </row>
    <row r="23" spans="1:3" x14ac:dyDescent="0.25">
      <c r="A23" s="44" t="s">
        <v>128</v>
      </c>
      <c r="B23" s="44">
        <v>5</v>
      </c>
    </row>
    <row r="24" spans="1:3" x14ac:dyDescent="0.25">
      <c r="A24" s="44" t="s">
        <v>131</v>
      </c>
      <c r="B24" s="44" t="s">
        <v>132</v>
      </c>
    </row>
    <row r="25" spans="1:3" x14ac:dyDescent="0.25">
      <c r="A25" s="44"/>
    </row>
    <row r="26" spans="1:3" x14ac:dyDescent="0.25">
      <c r="A26" s="35" t="s">
        <v>111</v>
      </c>
      <c r="C26" s="35" t="s">
        <v>116</v>
      </c>
    </row>
    <row r="27" spans="1:3" x14ac:dyDescent="0.25">
      <c r="A27" t="s">
        <v>112</v>
      </c>
      <c r="B27">
        <v>20</v>
      </c>
      <c r="C27">
        <v>5</v>
      </c>
    </row>
    <row r="28" spans="1:3" x14ac:dyDescent="0.25">
      <c r="A28" t="s">
        <v>113</v>
      </c>
      <c r="B28">
        <v>18</v>
      </c>
      <c r="C28">
        <v>4</v>
      </c>
    </row>
    <row r="29" spans="1:3" x14ac:dyDescent="0.25">
      <c r="A29" t="s">
        <v>114</v>
      </c>
      <c r="B29">
        <v>21</v>
      </c>
      <c r="C29">
        <v>4</v>
      </c>
    </row>
    <row r="30" spans="1:3" x14ac:dyDescent="0.25">
      <c r="A30" t="s">
        <v>115</v>
      </c>
      <c r="B30">
        <v>20</v>
      </c>
      <c r="C30">
        <v>4</v>
      </c>
    </row>
    <row r="31" spans="1:3" x14ac:dyDescent="0.25">
      <c r="A31" t="s">
        <v>117</v>
      </c>
      <c r="B31">
        <v>18</v>
      </c>
      <c r="C31">
        <v>5</v>
      </c>
    </row>
    <row r="32" spans="1:3" x14ac:dyDescent="0.25">
      <c r="A32" t="s">
        <v>118</v>
      </c>
      <c r="B32">
        <v>21</v>
      </c>
      <c r="C32">
        <v>4</v>
      </c>
    </row>
    <row r="33" spans="1:5" x14ac:dyDescent="0.25">
      <c r="A33" t="s">
        <v>119</v>
      </c>
      <c r="B33">
        <v>20</v>
      </c>
      <c r="C33">
        <v>5</v>
      </c>
    </row>
    <row r="34" spans="1:5" x14ac:dyDescent="0.25">
      <c r="A34" t="s">
        <v>120</v>
      </c>
      <c r="B34">
        <v>21</v>
      </c>
      <c r="C34">
        <v>4</v>
      </c>
    </row>
    <row r="35" spans="1:5" x14ac:dyDescent="0.25">
      <c r="A35" t="s">
        <v>121</v>
      </c>
      <c r="B35">
        <v>22</v>
      </c>
      <c r="C35">
        <v>4</v>
      </c>
    </row>
    <row r="36" spans="1:5" x14ac:dyDescent="0.25">
      <c r="A36" t="s">
        <v>122</v>
      </c>
      <c r="B36">
        <v>19</v>
      </c>
      <c r="C36">
        <v>5</v>
      </c>
    </row>
    <row r="37" spans="1:5" x14ac:dyDescent="0.25">
      <c r="A37" t="s">
        <v>123</v>
      </c>
      <c r="B37">
        <v>21</v>
      </c>
      <c r="C37">
        <v>4</v>
      </c>
    </row>
    <row r="38" spans="1:5" x14ac:dyDescent="0.25">
      <c r="A38" t="s">
        <v>124</v>
      </c>
      <c r="B38">
        <v>22</v>
      </c>
      <c r="C38">
        <v>4</v>
      </c>
    </row>
    <row r="39" spans="1:5" x14ac:dyDescent="0.25">
      <c r="A39" t="s">
        <v>125</v>
      </c>
      <c r="B39">
        <f>AVERAGE(B27:B38)</f>
        <v>20.25</v>
      </c>
    </row>
    <row r="41" spans="1:5" x14ac:dyDescent="0.25">
      <c r="A41" t="s">
        <v>32</v>
      </c>
    </row>
    <row r="45" spans="1:5" x14ac:dyDescent="0.25">
      <c r="A45" t="s">
        <v>259</v>
      </c>
      <c r="E45">
        <f>MONTH(B46)</f>
        <v>7</v>
      </c>
    </row>
    <row r="46" spans="1:5" x14ac:dyDescent="0.25">
      <c r="A46" t="s">
        <v>260</v>
      </c>
      <c r="B46" s="105">
        <v>44746</v>
      </c>
      <c r="C46">
        <f>WEEKNUM(B46,2)</f>
        <v>28</v>
      </c>
    </row>
    <row r="47" spans="1:5" x14ac:dyDescent="0.25">
      <c r="A47" t="s">
        <v>261</v>
      </c>
      <c r="B47" s="104">
        <v>44753</v>
      </c>
      <c r="C47">
        <f>WEEKNUM(B47,2)</f>
        <v>29</v>
      </c>
    </row>
    <row r="48" spans="1:5" x14ac:dyDescent="0.25">
      <c r="A48" t="s">
        <v>262</v>
      </c>
      <c r="B48" s="104">
        <v>44760</v>
      </c>
      <c r="C48">
        <f>WEEKNUM(B48,2)</f>
        <v>30</v>
      </c>
    </row>
    <row r="49" spans="1:3" x14ac:dyDescent="0.25">
      <c r="A49" t="s">
        <v>263</v>
      </c>
      <c r="B49" s="104">
        <v>44767</v>
      </c>
      <c r="C49">
        <f>WEEKNUM(B49,2)</f>
        <v>31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93"/>
  <sheetViews>
    <sheetView workbookViewId="0">
      <pane xSplit="2" ySplit="2" topLeftCell="H3" activePane="bottomRight" state="frozen"/>
      <selection pane="topRight" activeCell="C1" sqref="C1"/>
      <selection pane="bottomLeft" activeCell="A3" sqref="A3"/>
      <selection pane="bottomRight" activeCell="N4" sqref="N4"/>
    </sheetView>
  </sheetViews>
  <sheetFormatPr baseColWidth="10" defaultRowHeight="15" x14ac:dyDescent="0.25"/>
  <cols>
    <col min="1" max="1" width="12.42578125" bestFit="1" customWidth="1"/>
    <col min="2" max="2" width="44" bestFit="1" customWidth="1"/>
    <col min="3" max="3" width="10.28515625" bestFit="1" customWidth="1"/>
    <col min="4" max="4" width="7.85546875" bestFit="1" customWidth="1"/>
    <col min="5" max="5" width="11.7109375" bestFit="1" customWidth="1"/>
    <col min="6" max="6" width="13.140625" customWidth="1"/>
    <col min="7" max="7" width="10.42578125" bestFit="1" customWidth="1"/>
    <col min="8" max="8" width="8.85546875" bestFit="1" customWidth="1"/>
    <col min="9" max="9" width="8.5703125" bestFit="1" customWidth="1"/>
    <col min="10" max="10" width="11.42578125" bestFit="1" customWidth="1"/>
    <col min="11" max="11" width="8.28515625" bestFit="1" customWidth="1"/>
    <col min="12" max="12" width="9.140625" bestFit="1" customWidth="1"/>
    <col min="13" max="13" width="11.5703125" bestFit="1" customWidth="1"/>
    <col min="18" max="18" width="12.42578125" bestFit="1" customWidth="1"/>
  </cols>
  <sheetData>
    <row r="1" spans="1:19" x14ac:dyDescent="0.25">
      <c r="C1" s="145" t="s">
        <v>104</v>
      </c>
      <c r="D1" s="146"/>
      <c r="E1" s="146"/>
      <c r="F1" s="146"/>
      <c r="G1" s="146"/>
      <c r="H1" s="146"/>
      <c r="I1" s="146"/>
      <c r="J1" s="146"/>
      <c r="K1" s="146"/>
      <c r="L1" s="146"/>
      <c r="M1" s="147"/>
      <c r="N1" s="145" t="s">
        <v>9</v>
      </c>
      <c r="O1" s="146"/>
      <c r="P1" s="146"/>
      <c r="Q1" s="146"/>
      <c r="R1" s="146"/>
      <c r="S1" s="147"/>
    </row>
    <row r="2" spans="1:19" x14ac:dyDescent="0.25">
      <c r="A2" s="4" t="s">
        <v>0</v>
      </c>
      <c r="B2" s="4" t="s">
        <v>6</v>
      </c>
      <c r="C2" s="4" t="s">
        <v>5</v>
      </c>
      <c r="D2" s="4" t="s">
        <v>19</v>
      </c>
      <c r="E2" s="4" t="s">
        <v>78</v>
      </c>
      <c r="F2" s="4" t="s">
        <v>20</v>
      </c>
      <c r="G2" s="4" t="s">
        <v>21</v>
      </c>
      <c r="H2" s="4" t="s">
        <v>24</v>
      </c>
      <c r="I2" s="4" t="s">
        <v>22</v>
      </c>
      <c r="J2" s="4" t="s">
        <v>25</v>
      </c>
      <c r="K2" s="4" t="s">
        <v>26</v>
      </c>
      <c r="L2" s="4" t="s">
        <v>28</v>
      </c>
      <c r="M2" s="4" t="s">
        <v>27</v>
      </c>
      <c r="N2" s="4" t="s">
        <v>1</v>
      </c>
      <c r="O2" s="4" t="s">
        <v>2</v>
      </c>
      <c r="P2" s="4" t="s">
        <v>3</v>
      </c>
      <c r="Q2" s="4" t="s">
        <v>7</v>
      </c>
      <c r="R2" s="4" t="s">
        <v>137</v>
      </c>
      <c r="S2" s="4" t="s">
        <v>142</v>
      </c>
    </row>
    <row r="3" spans="1:19" x14ac:dyDescent="0.25">
      <c r="A3" s="60" t="s">
        <v>13</v>
      </c>
      <c r="B3" s="61"/>
      <c r="C3" s="62"/>
      <c r="D3" s="63"/>
      <c r="E3" s="63"/>
      <c r="F3" s="63"/>
      <c r="G3" s="63"/>
      <c r="H3" s="63"/>
      <c r="I3" s="63"/>
      <c r="J3" s="63"/>
      <c r="K3" s="63"/>
      <c r="L3" s="71"/>
      <c r="M3" s="72"/>
      <c r="N3" s="62"/>
      <c r="O3" s="63"/>
      <c r="P3" s="63"/>
      <c r="Q3" s="63"/>
      <c r="R3" s="63"/>
      <c r="S3" s="73"/>
    </row>
    <row r="4" spans="1:19" x14ac:dyDescent="0.25">
      <c r="A4" s="1" t="s">
        <v>18</v>
      </c>
      <c r="B4" s="2" t="s">
        <v>15</v>
      </c>
      <c r="C4" s="30">
        <v>51</v>
      </c>
      <c r="D4" s="10">
        <v>71</v>
      </c>
      <c r="E4" s="10">
        <v>51</v>
      </c>
      <c r="F4" s="10">
        <v>600</v>
      </c>
      <c r="G4" s="10">
        <v>1</v>
      </c>
      <c r="H4" s="10">
        <v>120</v>
      </c>
      <c r="I4" s="10" t="s">
        <v>23</v>
      </c>
      <c r="J4" s="10"/>
      <c r="K4" s="10"/>
      <c r="L4" s="11"/>
      <c r="M4" s="15">
        <v>1</v>
      </c>
      <c r="N4" s="30">
        <v>0</v>
      </c>
      <c r="O4" s="10">
        <v>8000</v>
      </c>
      <c r="P4" s="10">
        <f>(O4*M4)-N4</f>
        <v>8000</v>
      </c>
      <c r="Q4" s="10"/>
      <c r="R4" s="10">
        <f>(P4*H4)/1000</f>
        <v>960</v>
      </c>
      <c r="S4" s="41">
        <f>(P4*C4)/3600</f>
        <v>113.33333333333333</v>
      </c>
    </row>
    <row r="5" spans="1:19" x14ac:dyDescent="0.25">
      <c r="A5" s="1" t="s">
        <v>44</v>
      </c>
      <c r="B5" s="2" t="s">
        <v>16</v>
      </c>
      <c r="C5" s="30">
        <v>48</v>
      </c>
      <c r="D5" s="10">
        <v>75</v>
      </c>
      <c r="E5" s="10">
        <v>48</v>
      </c>
      <c r="F5" s="10">
        <v>600</v>
      </c>
      <c r="G5" s="10">
        <v>1</v>
      </c>
      <c r="H5" s="10">
        <v>105</v>
      </c>
      <c r="I5" s="10" t="s">
        <v>23</v>
      </c>
      <c r="J5" s="10"/>
      <c r="K5" s="10"/>
      <c r="L5" s="11"/>
      <c r="M5" s="15">
        <v>1</v>
      </c>
      <c r="N5" s="30">
        <v>0</v>
      </c>
      <c r="O5" s="10">
        <v>20000</v>
      </c>
      <c r="P5" s="10">
        <f t="shared" ref="P5:P33" si="0">(O5*M5)-N5</f>
        <v>20000</v>
      </c>
      <c r="Q5" s="10"/>
      <c r="R5" s="10">
        <f t="shared" ref="R5:R11" si="1">(P5*H5)/1000</f>
        <v>2100</v>
      </c>
      <c r="S5" s="41">
        <f t="shared" ref="S5:S11" si="2">(P5*C5)/3600</f>
        <v>266.66666666666669</v>
      </c>
    </row>
    <row r="6" spans="1:19" x14ac:dyDescent="0.25">
      <c r="A6" s="1" t="s">
        <v>39</v>
      </c>
      <c r="B6" s="2" t="s">
        <v>17</v>
      </c>
      <c r="C6" s="30">
        <v>90</v>
      </c>
      <c r="D6" s="10">
        <v>40</v>
      </c>
      <c r="E6" s="10">
        <v>90</v>
      </c>
      <c r="F6" s="10">
        <v>320</v>
      </c>
      <c r="G6" s="10">
        <v>1</v>
      </c>
      <c r="H6" s="10">
        <v>130</v>
      </c>
      <c r="I6" s="10" t="s">
        <v>83</v>
      </c>
      <c r="J6" s="10"/>
      <c r="K6" s="10"/>
      <c r="L6" s="11"/>
      <c r="M6" s="15">
        <v>1</v>
      </c>
      <c r="N6" s="30">
        <v>0</v>
      </c>
      <c r="O6" s="10">
        <v>1500</v>
      </c>
      <c r="P6" s="10">
        <f t="shared" si="0"/>
        <v>1500</v>
      </c>
      <c r="Q6" s="10"/>
      <c r="R6" s="10">
        <f t="shared" si="1"/>
        <v>195</v>
      </c>
      <c r="S6" s="41">
        <f t="shared" si="2"/>
        <v>37.5</v>
      </c>
    </row>
    <row r="7" spans="1:19" x14ac:dyDescent="0.25">
      <c r="A7" s="1" t="s">
        <v>53</v>
      </c>
      <c r="B7" s="2" t="s">
        <v>40</v>
      </c>
      <c r="C7" s="30">
        <v>35</v>
      </c>
      <c r="D7" s="10">
        <v>103</v>
      </c>
      <c r="E7" s="10">
        <v>35</v>
      </c>
      <c r="F7" s="10">
        <v>823</v>
      </c>
      <c r="G7" s="10">
        <v>1</v>
      </c>
      <c r="H7" s="10">
        <v>105</v>
      </c>
      <c r="I7" s="10" t="s">
        <v>23</v>
      </c>
      <c r="J7" s="10"/>
      <c r="K7" s="10"/>
      <c r="L7" s="11"/>
      <c r="M7" s="15">
        <v>1</v>
      </c>
      <c r="N7" s="30">
        <v>0</v>
      </c>
      <c r="O7" s="10">
        <v>1500</v>
      </c>
      <c r="P7" s="10">
        <f t="shared" si="0"/>
        <v>1500</v>
      </c>
      <c r="Q7" s="10"/>
      <c r="R7" s="10">
        <f t="shared" si="1"/>
        <v>157.5</v>
      </c>
      <c r="S7" s="41">
        <f t="shared" si="2"/>
        <v>14.583333333333334</v>
      </c>
    </row>
    <row r="8" spans="1:19" x14ac:dyDescent="0.25">
      <c r="A8" s="1" t="s">
        <v>43</v>
      </c>
      <c r="B8" s="2" t="s">
        <v>37</v>
      </c>
      <c r="C8" s="29">
        <v>57.4</v>
      </c>
      <c r="D8" s="10">
        <v>63</v>
      </c>
      <c r="E8" s="27">
        <v>57.4</v>
      </c>
      <c r="F8" s="10">
        <v>502</v>
      </c>
      <c r="G8" s="10">
        <v>1</v>
      </c>
      <c r="H8" s="10">
        <v>120</v>
      </c>
      <c r="I8" s="10" t="s">
        <v>23</v>
      </c>
      <c r="J8" s="10"/>
      <c r="K8" s="10"/>
      <c r="L8" s="11"/>
      <c r="M8" s="15">
        <v>1</v>
      </c>
      <c r="N8" s="30">
        <v>0</v>
      </c>
      <c r="O8" s="10">
        <v>7200</v>
      </c>
      <c r="P8" s="10">
        <f t="shared" si="0"/>
        <v>7200</v>
      </c>
      <c r="Q8" s="10"/>
      <c r="R8" s="10">
        <f t="shared" si="1"/>
        <v>864</v>
      </c>
      <c r="S8" s="41">
        <f t="shared" si="2"/>
        <v>114.8</v>
      </c>
    </row>
    <row r="9" spans="1:19" x14ac:dyDescent="0.25">
      <c r="A9" s="1" t="s">
        <v>42</v>
      </c>
      <c r="B9" s="2" t="s">
        <v>41</v>
      </c>
      <c r="C9" s="30">
        <v>90</v>
      </c>
      <c r="D9" s="10">
        <v>40</v>
      </c>
      <c r="E9" s="10">
        <v>90</v>
      </c>
      <c r="F9" s="10">
        <v>320</v>
      </c>
      <c r="G9" s="10">
        <v>1</v>
      </c>
      <c r="H9" s="10">
        <v>130</v>
      </c>
      <c r="I9" s="10" t="s">
        <v>83</v>
      </c>
      <c r="J9" s="10"/>
      <c r="K9" s="10"/>
      <c r="L9" s="11"/>
      <c r="M9" s="15">
        <v>1</v>
      </c>
      <c r="N9" s="30">
        <v>0</v>
      </c>
      <c r="O9" s="10">
        <v>1000</v>
      </c>
      <c r="P9" s="10">
        <f t="shared" si="0"/>
        <v>1000</v>
      </c>
      <c r="Q9" s="10"/>
      <c r="R9" s="10">
        <f t="shared" si="1"/>
        <v>130</v>
      </c>
      <c r="S9" s="41">
        <f t="shared" si="2"/>
        <v>25</v>
      </c>
    </row>
    <row r="10" spans="1:19" x14ac:dyDescent="0.25">
      <c r="A10" s="1" t="s">
        <v>52</v>
      </c>
      <c r="B10" s="2" t="s">
        <v>51</v>
      </c>
      <c r="C10" s="8">
        <v>3.12</v>
      </c>
      <c r="D10" s="10">
        <v>1152</v>
      </c>
      <c r="E10" s="10">
        <v>25</v>
      </c>
      <c r="F10" s="10">
        <v>1152</v>
      </c>
      <c r="G10" s="10">
        <v>8</v>
      </c>
      <c r="H10" s="27">
        <v>3.9</v>
      </c>
      <c r="I10" s="10" t="s">
        <v>23</v>
      </c>
      <c r="J10" s="10"/>
      <c r="K10" s="10"/>
      <c r="L10" s="11"/>
      <c r="M10" s="15">
        <v>1</v>
      </c>
      <c r="N10" s="30">
        <v>0</v>
      </c>
      <c r="O10" s="10">
        <v>50000</v>
      </c>
      <c r="P10" s="10">
        <f t="shared" si="0"/>
        <v>50000</v>
      </c>
      <c r="Q10" s="10"/>
      <c r="R10" s="10">
        <f t="shared" si="1"/>
        <v>195</v>
      </c>
      <c r="S10" s="41">
        <f t="shared" si="2"/>
        <v>43.333333333333336</v>
      </c>
    </row>
    <row r="11" spans="1:19" x14ac:dyDescent="0.25">
      <c r="A11" s="1" t="s">
        <v>54</v>
      </c>
      <c r="B11" s="2" t="s">
        <v>14</v>
      </c>
      <c r="C11" s="30">
        <v>48</v>
      </c>
      <c r="D11" s="10">
        <v>75</v>
      </c>
      <c r="E11" s="10">
        <v>48</v>
      </c>
      <c r="F11" s="10">
        <v>600</v>
      </c>
      <c r="G11" s="10">
        <v>1</v>
      </c>
      <c r="H11" s="10">
        <v>115</v>
      </c>
      <c r="I11" s="10" t="s">
        <v>23</v>
      </c>
      <c r="J11" s="10"/>
      <c r="K11" s="10"/>
      <c r="L11" s="11"/>
      <c r="M11" s="15">
        <v>1</v>
      </c>
      <c r="N11" s="30">
        <v>0</v>
      </c>
      <c r="O11" s="10">
        <v>11000</v>
      </c>
      <c r="P11" s="10">
        <f t="shared" si="0"/>
        <v>11000</v>
      </c>
      <c r="Q11" s="10"/>
      <c r="R11" s="10">
        <f t="shared" si="1"/>
        <v>1265</v>
      </c>
      <c r="S11" s="41">
        <f t="shared" si="2"/>
        <v>146.66666666666666</v>
      </c>
    </row>
    <row r="12" spans="1:19" x14ac:dyDescent="0.25">
      <c r="A12" s="60" t="s">
        <v>36</v>
      </c>
      <c r="B12" s="61"/>
      <c r="C12" s="62"/>
      <c r="D12" s="63"/>
      <c r="E12" s="63"/>
      <c r="F12" s="63"/>
      <c r="G12" s="63"/>
      <c r="H12" s="63"/>
      <c r="I12" s="63"/>
      <c r="J12" s="63"/>
      <c r="K12" s="63"/>
      <c r="L12" s="71"/>
      <c r="M12" s="72"/>
      <c r="N12" s="62"/>
      <c r="O12" s="63"/>
      <c r="P12" s="63"/>
      <c r="Q12" s="63"/>
      <c r="R12" s="74"/>
      <c r="S12" s="73"/>
    </row>
    <row r="13" spans="1:19" x14ac:dyDescent="0.25">
      <c r="A13" s="1" t="s">
        <v>59</v>
      </c>
      <c r="B13" s="2" t="s">
        <v>55</v>
      </c>
      <c r="C13" s="30">
        <v>35</v>
      </c>
      <c r="D13" s="10">
        <v>103</v>
      </c>
      <c r="E13" s="10">
        <v>35</v>
      </c>
      <c r="F13" s="10">
        <v>824</v>
      </c>
      <c r="G13" s="10">
        <v>1</v>
      </c>
      <c r="H13" s="10">
        <v>110</v>
      </c>
      <c r="I13" s="10" t="s">
        <v>23</v>
      </c>
      <c r="J13" s="10"/>
      <c r="K13" s="10"/>
      <c r="L13" s="11"/>
      <c r="M13" s="15">
        <v>1</v>
      </c>
      <c r="N13" s="30">
        <v>0</v>
      </c>
      <c r="O13" s="10">
        <v>4080</v>
      </c>
      <c r="P13" s="10">
        <f t="shared" si="0"/>
        <v>4080</v>
      </c>
      <c r="Q13" s="10"/>
      <c r="R13" s="10">
        <f>(P13*H13)/1000</f>
        <v>448.8</v>
      </c>
      <c r="S13" s="41">
        <f>(P13*C13)/3600</f>
        <v>39.666666666666664</v>
      </c>
    </row>
    <row r="14" spans="1:19" x14ac:dyDescent="0.25">
      <c r="A14" s="1" t="s">
        <v>60</v>
      </c>
      <c r="B14" s="2" t="s">
        <v>56</v>
      </c>
      <c r="C14" s="30">
        <v>35</v>
      </c>
      <c r="D14" s="10">
        <v>103</v>
      </c>
      <c r="E14" s="10">
        <v>35</v>
      </c>
      <c r="F14" s="10">
        <v>824</v>
      </c>
      <c r="G14" s="10">
        <v>1</v>
      </c>
      <c r="H14" s="10">
        <v>65</v>
      </c>
      <c r="I14" s="10" t="s">
        <v>23</v>
      </c>
      <c r="J14" s="10"/>
      <c r="K14" s="10"/>
      <c r="L14" s="11"/>
      <c r="M14" s="15">
        <v>1</v>
      </c>
      <c r="N14" s="30">
        <v>0</v>
      </c>
      <c r="O14" s="10">
        <v>4080</v>
      </c>
      <c r="P14" s="10">
        <f t="shared" si="0"/>
        <v>4080</v>
      </c>
      <c r="Q14" s="10"/>
      <c r="R14" s="10">
        <f>(P14*H14)/1000</f>
        <v>265.2</v>
      </c>
      <c r="S14" s="41">
        <f>(P14*C14)/3600</f>
        <v>39.666666666666664</v>
      </c>
    </row>
    <row r="15" spans="1:19" x14ac:dyDescent="0.25">
      <c r="A15" s="1" t="s">
        <v>61</v>
      </c>
      <c r="B15" s="2" t="s">
        <v>38</v>
      </c>
      <c r="C15" s="30">
        <v>30</v>
      </c>
      <c r="D15" s="10">
        <v>120</v>
      </c>
      <c r="E15" s="10">
        <v>30</v>
      </c>
      <c r="F15" s="10">
        <v>960</v>
      </c>
      <c r="G15" s="10">
        <v>1</v>
      </c>
      <c r="H15" s="10">
        <v>20</v>
      </c>
      <c r="I15" s="10" t="s">
        <v>23</v>
      </c>
      <c r="J15" s="10"/>
      <c r="K15" s="10"/>
      <c r="L15" s="11"/>
      <c r="M15" s="15">
        <v>1</v>
      </c>
      <c r="N15" s="30">
        <v>0</v>
      </c>
      <c r="O15" s="10">
        <v>15000</v>
      </c>
      <c r="P15" s="10">
        <f t="shared" si="0"/>
        <v>15000</v>
      </c>
      <c r="Q15" s="10"/>
      <c r="R15" s="10">
        <f>(P15*H15)/1000</f>
        <v>300</v>
      </c>
      <c r="S15" s="41">
        <f>(P15*C15)/3600</f>
        <v>125</v>
      </c>
    </row>
    <row r="16" spans="1:19" x14ac:dyDescent="0.25">
      <c r="A16" s="1" t="s">
        <v>63</v>
      </c>
      <c r="B16" s="2" t="s">
        <v>58</v>
      </c>
      <c r="C16" s="30">
        <v>35</v>
      </c>
      <c r="D16" s="10">
        <v>103</v>
      </c>
      <c r="E16" s="10">
        <v>35</v>
      </c>
      <c r="F16" s="10">
        <v>824</v>
      </c>
      <c r="G16" s="10">
        <v>1</v>
      </c>
      <c r="H16" s="10">
        <v>110</v>
      </c>
      <c r="I16" s="10" t="s">
        <v>23</v>
      </c>
      <c r="J16" s="10"/>
      <c r="K16" s="10"/>
      <c r="L16" s="11"/>
      <c r="M16" s="15">
        <v>1</v>
      </c>
      <c r="N16" s="30">
        <v>0</v>
      </c>
      <c r="O16" s="10">
        <v>1360</v>
      </c>
      <c r="P16" s="10">
        <f t="shared" si="0"/>
        <v>1360</v>
      </c>
      <c r="Q16" s="10"/>
      <c r="R16" s="10">
        <f>(P16*H16)/1000</f>
        <v>149.6</v>
      </c>
      <c r="S16" s="41">
        <f>(P16*C16)/3600</f>
        <v>13.222222222222221</v>
      </c>
    </row>
    <row r="17" spans="1:19" x14ac:dyDescent="0.25">
      <c r="A17" s="1" t="s">
        <v>64</v>
      </c>
      <c r="B17" s="2" t="s">
        <v>57</v>
      </c>
      <c r="C17" s="30">
        <v>35</v>
      </c>
      <c r="D17" s="10">
        <v>103</v>
      </c>
      <c r="E17" s="10">
        <v>35</v>
      </c>
      <c r="F17" s="10">
        <v>824</v>
      </c>
      <c r="G17" s="10">
        <v>1</v>
      </c>
      <c r="H17" s="10">
        <v>65</v>
      </c>
      <c r="I17" s="10" t="s">
        <v>23</v>
      </c>
      <c r="J17" s="10"/>
      <c r="K17" s="10"/>
      <c r="L17" s="11"/>
      <c r="M17" s="15">
        <v>1</v>
      </c>
      <c r="N17" s="30">
        <v>0</v>
      </c>
      <c r="O17" s="10">
        <v>1360</v>
      </c>
      <c r="P17" s="10">
        <f t="shared" si="0"/>
        <v>1360</v>
      </c>
      <c r="Q17" s="10"/>
      <c r="R17" s="10">
        <f>(P17*H17)/1000</f>
        <v>88.4</v>
      </c>
      <c r="S17" s="41">
        <f>(P17*C17)/3600</f>
        <v>13.222222222222221</v>
      </c>
    </row>
    <row r="18" spans="1:19" x14ac:dyDescent="0.25">
      <c r="A18" s="60" t="s">
        <v>134</v>
      </c>
      <c r="B18" s="61"/>
      <c r="C18" s="62"/>
      <c r="D18" s="63"/>
      <c r="E18" s="63"/>
      <c r="F18" s="63"/>
      <c r="G18" s="63"/>
      <c r="H18" s="63"/>
      <c r="I18" s="63"/>
      <c r="J18" s="63"/>
      <c r="K18" s="63"/>
      <c r="L18" s="71"/>
      <c r="M18" s="72"/>
      <c r="N18" s="75"/>
      <c r="O18" s="63"/>
      <c r="P18" s="63"/>
      <c r="Q18" s="63"/>
      <c r="R18" s="74"/>
      <c r="S18" s="73"/>
    </row>
    <row r="19" spans="1:19" x14ac:dyDescent="0.25">
      <c r="A19" s="1" t="s">
        <v>46</v>
      </c>
      <c r="B19" s="2" t="s">
        <v>45</v>
      </c>
      <c r="C19" s="8">
        <v>4.75</v>
      </c>
      <c r="D19" s="10">
        <v>752</v>
      </c>
      <c r="E19" s="10">
        <v>38</v>
      </c>
      <c r="F19" s="10">
        <v>758</v>
      </c>
      <c r="G19" s="10">
        <v>8</v>
      </c>
      <c r="H19" s="27">
        <v>2.8</v>
      </c>
      <c r="I19" s="10" t="s">
        <v>23</v>
      </c>
      <c r="J19" s="10"/>
      <c r="K19" s="10"/>
      <c r="L19" s="11"/>
      <c r="M19" s="15">
        <v>1</v>
      </c>
      <c r="N19" s="30">
        <v>0</v>
      </c>
      <c r="O19" s="10">
        <v>120000</v>
      </c>
      <c r="P19" s="10">
        <f t="shared" si="0"/>
        <v>120000</v>
      </c>
      <c r="Q19" s="10"/>
      <c r="R19" s="10">
        <f>(P19*H19)/1000</f>
        <v>336</v>
      </c>
      <c r="S19" s="41">
        <f>(P19*C19)/3600</f>
        <v>158.33333333333334</v>
      </c>
    </row>
    <row r="20" spans="1:19" x14ac:dyDescent="0.25">
      <c r="A20" s="1" t="s">
        <v>49</v>
      </c>
      <c r="B20" s="2" t="s">
        <v>47</v>
      </c>
      <c r="C20" s="8">
        <v>2.25</v>
      </c>
      <c r="D20" s="10">
        <v>1596</v>
      </c>
      <c r="E20" s="10">
        <v>27</v>
      </c>
      <c r="F20" s="10">
        <v>1083</v>
      </c>
      <c r="G20" s="10">
        <v>12</v>
      </c>
      <c r="H20" s="27">
        <v>2.8</v>
      </c>
      <c r="I20" s="10" t="s">
        <v>23</v>
      </c>
      <c r="J20" s="10"/>
      <c r="K20" s="10"/>
      <c r="L20" s="11"/>
      <c r="M20" s="15">
        <v>1</v>
      </c>
      <c r="N20" s="30">
        <v>0</v>
      </c>
      <c r="O20" s="10">
        <v>120000</v>
      </c>
      <c r="P20" s="10">
        <f t="shared" si="0"/>
        <v>120000</v>
      </c>
      <c r="Q20" s="10"/>
      <c r="R20" s="10">
        <f t="shared" ref="R20:R28" si="3">(P20*H20)/1000</f>
        <v>336</v>
      </c>
      <c r="S20" s="41">
        <f t="shared" ref="S20:S33" si="4">(P20*C20)/3600</f>
        <v>75</v>
      </c>
    </row>
    <row r="21" spans="1:19" x14ac:dyDescent="0.25">
      <c r="A21" s="1" t="s">
        <v>50</v>
      </c>
      <c r="B21" s="2" t="s">
        <v>48</v>
      </c>
      <c r="C21" s="30">
        <v>5</v>
      </c>
      <c r="D21" s="10">
        <v>720</v>
      </c>
      <c r="E21" s="10">
        <v>40</v>
      </c>
      <c r="F21" s="10">
        <v>724</v>
      </c>
      <c r="G21" s="10">
        <v>8</v>
      </c>
      <c r="H21" s="27">
        <v>6.2</v>
      </c>
      <c r="I21" s="10" t="s">
        <v>23</v>
      </c>
      <c r="J21" s="10"/>
      <c r="K21" s="10"/>
      <c r="L21" s="11"/>
      <c r="M21" s="15">
        <v>1</v>
      </c>
      <c r="N21" s="30">
        <v>0</v>
      </c>
      <c r="O21" s="10">
        <v>120000</v>
      </c>
      <c r="P21" s="10">
        <f t="shared" si="0"/>
        <v>120000</v>
      </c>
      <c r="Q21" s="10"/>
      <c r="R21" s="10">
        <f t="shared" si="3"/>
        <v>744</v>
      </c>
      <c r="S21" s="41">
        <f t="shared" si="4"/>
        <v>166.66666666666666</v>
      </c>
    </row>
    <row r="22" spans="1:19" x14ac:dyDescent="0.25">
      <c r="A22" s="1" t="s">
        <v>62</v>
      </c>
      <c r="B22" s="2" t="s">
        <v>65</v>
      </c>
      <c r="C22" s="30">
        <v>5</v>
      </c>
      <c r="D22" s="10">
        <v>720</v>
      </c>
      <c r="E22" s="10">
        <v>40</v>
      </c>
      <c r="F22" s="10">
        <v>724</v>
      </c>
      <c r="G22" s="10">
        <v>8</v>
      </c>
      <c r="H22" s="27">
        <v>6.2</v>
      </c>
      <c r="I22" s="10" t="s">
        <v>23</v>
      </c>
      <c r="J22" s="10"/>
      <c r="K22" s="10"/>
      <c r="L22" s="11"/>
      <c r="M22" s="15">
        <v>1</v>
      </c>
      <c r="N22" s="30">
        <v>0</v>
      </c>
      <c r="O22" s="10">
        <v>120000</v>
      </c>
      <c r="P22" s="10">
        <f t="shared" si="0"/>
        <v>120000</v>
      </c>
      <c r="Q22" s="10"/>
      <c r="R22" s="10">
        <f t="shared" si="3"/>
        <v>744</v>
      </c>
      <c r="S22" s="41">
        <f t="shared" si="4"/>
        <v>166.66666666666666</v>
      </c>
    </row>
    <row r="23" spans="1:19" x14ac:dyDescent="0.25">
      <c r="A23" s="1" t="s">
        <v>69</v>
      </c>
      <c r="B23" s="2" t="s">
        <v>67</v>
      </c>
      <c r="C23" s="8">
        <v>4.75</v>
      </c>
      <c r="D23" s="10">
        <v>752</v>
      </c>
      <c r="E23" s="10">
        <v>38</v>
      </c>
      <c r="F23" s="10">
        <v>758</v>
      </c>
      <c r="G23" s="10">
        <v>8</v>
      </c>
      <c r="H23" s="27">
        <v>2.8</v>
      </c>
      <c r="I23" s="10" t="s">
        <v>23</v>
      </c>
      <c r="J23" s="12"/>
      <c r="K23" s="12"/>
      <c r="L23" s="11"/>
      <c r="M23" s="15">
        <v>1</v>
      </c>
      <c r="N23" s="30">
        <v>0</v>
      </c>
      <c r="O23" s="10">
        <v>20000</v>
      </c>
      <c r="P23" s="10">
        <f t="shared" si="0"/>
        <v>20000</v>
      </c>
      <c r="Q23" s="10"/>
      <c r="R23" s="10">
        <f t="shared" si="3"/>
        <v>56</v>
      </c>
      <c r="S23" s="41">
        <f t="shared" si="4"/>
        <v>26.388888888888889</v>
      </c>
    </row>
    <row r="24" spans="1:19" x14ac:dyDescent="0.25">
      <c r="A24" s="1" t="s">
        <v>73</v>
      </c>
      <c r="B24" s="2" t="s">
        <v>66</v>
      </c>
      <c r="C24" s="8">
        <v>2.25</v>
      </c>
      <c r="D24" s="10">
        <v>1596</v>
      </c>
      <c r="E24" s="10">
        <v>27</v>
      </c>
      <c r="F24" s="10">
        <v>1083</v>
      </c>
      <c r="G24" s="10">
        <v>12</v>
      </c>
      <c r="H24" s="27">
        <v>2.8</v>
      </c>
      <c r="I24" s="10" t="s">
        <v>23</v>
      </c>
      <c r="M24" s="15">
        <v>1</v>
      </c>
      <c r="N24" s="30">
        <v>0</v>
      </c>
      <c r="O24" s="10">
        <v>20000</v>
      </c>
      <c r="P24" s="10">
        <f t="shared" si="0"/>
        <v>20000</v>
      </c>
      <c r="Q24" s="10"/>
      <c r="R24" s="10">
        <f t="shared" si="3"/>
        <v>56</v>
      </c>
      <c r="S24" s="41">
        <f t="shared" si="4"/>
        <v>12.5</v>
      </c>
    </row>
    <row r="25" spans="1:19" x14ac:dyDescent="0.25">
      <c r="A25" s="1" t="s">
        <v>74</v>
      </c>
      <c r="B25" s="2" t="s">
        <v>68</v>
      </c>
      <c r="C25" s="30">
        <v>5</v>
      </c>
      <c r="D25" s="10">
        <v>720</v>
      </c>
      <c r="E25" s="10">
        <v>40</v>
      </c>
      <c r="F25" s="10">
        <v>724</v>
      </c>
      <c r="G25" s="10">
        <v>8</v>
      </c>
      <c r="H25" s="27">
        <v>6.2</v>
      </c>
      <c r="I25" s="10" t="s">
        <v>23</v>
      </c>
      <c r="J25" s="12"/>
      <c r="K25" s="12"/>
      <c r="L25" s="11"/>
      <c r="M25" s="15">
        <v>1</v>
      </c>
      <c r="N25" s="30">
        <v>0</v>
      </c>
      <c r="O25" s="10">
        <v>20000</v>
      </c>
      <c r="P25" s="10">
        <f t="shared" si="0"/>
        <v>20000</v>
      </c>
      <c r="Q25" s="10"/>
      <c r="R25" s="10">
        <f t="shared" si="3"/>
        <v>124</v>
      </c>
      <c r="S25" s="41">
        <f t="shared" si="4"/>
        <v>27.777777777777779</v>
      </c>
    </row>
    <row r="26" spans="1:19" x14ac:dyDescent="0.25">
      <c r="A26" s="1" t="s">
        <v>75</v>
      </c>
      <c r="B26" s="2" t="s">
        <v>70</v>
      </c>
      <c r="C26" s="8">
        <v>4.75</v>
      </c>
      <c r="D26" s="10">
        <v>752</v>
      </c>
      <c r="E26" s="10">
        <v>38</v>
      </c>
      <c r="F26" s="10">
        <v>758</v>
      </c>
      <c r="G26" s="10">
        <v>8</v>
      </c>
      <c r="H26" s="27">
        <v>2.8</v>
      </c>
      <c r="I26" s="10" t="s">
        <v>23</v>
      </c>
      <c r="J26" s="12"/>
      <c r="K26" s="12"/>
      <c r="L26" s="11"/>
      <c r="M26" s="15">
        <v>1</v>
      </c>
      <c r="N26" s="30">
        <v>0</v>
      </c>
      <c r="O26" s="10">
        <v>15000</v>
      </c>
      <c r="P26" s="10">
        <f t="shared" si="0"/>
        <v>15000</v>
      </c>
      <c r="Q26" s="10"/>
      <c r="R26" s="10">
        <f t="shared" si="3"/>
        <v>42</v>
      </c>
      <c r="S26" s="41">
        <f t="shared" si="4"/>
        <v>19.791666666666668</v>
      </c>
    </row>
    <row r="27" spans="1:19" x14ac:dyDescent="0.25">
      <c r="A27" s="1" t="s">
        <v>76</v>
      </c>
      <c r="B27" s="2" t="s">
        <v>71</v>
      </c>
      <c r="C27" s="8">
        <v>2.25</v>
      </c>
      <c r="D27" s="10">
        <v>1596</v>
      </c>
      <c r="E27" s="10">
        <v>27</v>
      </c>
      <c r="F27" s="10">
        <v>1083</v>
      </c>
      <c r="G27" s="10">
        <v>12</v>
      </c>
      <c r="H27" s="27">
        <v>2.8</v>
      </c>
      <c r="I27" s="10" t="s">
        <v>23</v>
      </c>
      <c r="J27" s="12"/>
      <c r="K27" s="12"/>
      <c r="L27" s="11"/>
      <c r="M27" s="15">
        <v>1</v>
      </c>
      <c r="N27" s="30">
        <v>0</v>
      </c>
      <c r="O27" s="10">
        <v>15000</v>
      </c>
      <c r="P27" s="10">
        <f t="shared" si="0"/>
        <v>15000</v>
      </c>
      <c r="Q27" s="10"/>
      <c r="R27" s="10">
        <f t="shared" si="3"/>
        <v>42</v>
      </c>
      <c r="S27" s="41">
        <f t="shared" si="4"/>
        <v>9.375</v>
      </c>
    </row>
    <row r="28" spans="1:19" x14ac:dyDescent="0.25">
      <c r="A28" s="1" t="s">
        <v>77</v>
      </c>
      <c r="B28" s="2" t="s">
        <v>72</v>
      </c>
      <c r="C28" s="30">
        <v>5</v>
      </c>
      <c r="D28" s="10">
        <v>720</v>
      </c>
      <c r="E28" s="10">
        <v>40</v>
      </c>
      <c r="F28" s="10">
        <v>724</v>
      </c>
      <c r="G28" s="10">
        <v>8</v>
      </c>
      <c r="H28" s="27">
        <v>6.2</v>
      </c>
      <c r="I28" s="10" t="s">
        <v>23</v>
      </c>
      <c r="J28" s="10"/>
      <c r="K28" s="10"/>
      <c r="L28" s="11"/>
      <c r="M28" s="15">
        <v>1</v>
      </c>
      <c r="N28" s="30">
        <v>0</v>
      </c>
      <c r="O28" s="10">
        <v>15000</v>
      </c>
      <c r="P28" s="10">
        <f t="shared" si="0"/>
        <v>15000</v>
      </c>
      <c r="Q28" s="10"/>
      <c r="R28" s="10">
        <f t="shared" si="3"/>
        <v>93</v>
      </c>
      <c r="S28" s="41">
        <f t="shared" si="4"/>
        <v>20.833333333333332</v>
      </c>
    </row>
    <row r="29" spans="1:19" x14ac:dyDescent="0.25">
      <c r="A29" s="60" t="s">
        <v>135</v>
      </c>
      <c r="B29" s="61"/>
      <c r="C29" s="62"/>
      <c r="D29" s="63"/>
      <c r="E29" s="63"/>
      <c r="F29" s="63"/>
      <c r="G29" s="63"/>
      <c r="H29" s="63"/>
      <c r="I29" s="63"/>
      <c r="J29" s="63"/>
      <c r="K29" s="63"/>
      <c r="L29" s="71"/>
      <c r="M29" s="72"/>
      <c r="N29" s="75"/>
      <c r="O29" s="63"/>
      <c r="P29" s="63"/>
      <c r="Q29" s="63"/>
      <c r="R29" s="74"/>
      <c r="S29" s="73"/>
    </row>
    <row r="30" spans="1:19" x14ac:dyDescent="0.25">
      <c r="A30" s="1" t="s">
        <v>138</v>
      </c>
      <c r="B30" s="2" t="s">
        <v>79</v>
      </c>
      <c r="C30" s="30">
        <v>17</v>
      </c>
      <c r="D30" s="10">
        <v>211</v>
      </c>
      <c r="E30" s="10">
        <v>35</v>
      </c>
      <c r="F30" s="10"/>
      <c r="G30" s="10">
        <v>2</v>
      </c>
      <c r="H30" s="10"/>
      <c r="I30" s="10" t="s">
        <v>23</v>
      </c>
      <c r="J30" s="10"/>
      <c r="K30" s="10"/>
      <c r="L30" s="11"/>
      <c r="M30" s="15">
        <v>1</v>
      </c>
      <c r="N30" s="13">
        <v>0</v>
      </c>
      <c r="O30" s="10">
        <v>6000</v>
      </c>
      <c r="P30" s="10">
        <f t="shared" si="0"/>
        <v>6000</v>
      </c>
      <c r="Q30" s="10"/>
      <c r="R30" s="14"/>
      <c r="S30" s="41">
        <f t="shared" si="4"/>
        <v>28.333333333333332</v>
      </c>
    </row>
    <row r="31" spans="1:19" x14ac:dyDescent="0.25">
      <c r="A31" s="1" t="s">
        <v>139</v>
      </c>
      <c r="B31" s="2" t="s">
        <v>80</v>
      </c>
      <c r="C31" s="30">
        <v>17</v>
      </c>
      <c r="D31" s="10">
        <v>211</v>
      </c>
      <c r="E31" s="10">
        <v>35</v>
      </c>
      <c r="F31" s="10"/>
      <c r="G31" s="10">
        <v>2</v>
      </c>
      <c r="H31" s="10"/>
      <c r="I31" s="10" t="s">
        <v>23</v>
      </c>
      <c r="J31" s="10"/>
      <c r="K31" s="10"/>
      <c r="L31" s="11"/>
      <c r="M31" s="15">
        <v>1</v>
      </c>
      <c r="N31" s="13">
        <v>0</v>
      </c>
      <c r="O31" s="10">
        <v>6000</v>
      </c>
      <c r="P31" s="10">
        <f t="shared" si="0"/>
        <v>6000</v>
      </c>
      <c r="Q31" s="10"/>
      <c r="R31" s="14"/>
      <c r="S31" s="41">
        <f t="shared" si="4"/>
        <v>28.333333333333332</v>
      </c>
    </row>
    <row r="32" spans="1:19" x14ac:dyDescent="0.25">
      <c r="A32" s="1" t="s">
        <v>140</v>
      </c>
      <c r="B32" s="2" t="s">
        <v>82</v>
      </c>
      <c r="C32" s="30">
        <v>17</v>
      </c>
      <c r="D32" s="10">
        <v>211</v>
      </c>
      <c r="E32" s="10">
        <v>35</v>
      </c>
      <c r="F32" s="10"/>
      <c r="G32" s="10">
        <v>2</v>
      </c>
      <c r="H32" s="10"/>
      <c r="I32" s="10" t="s">
        <v>23</v>
      </c>
      <c r="J32" s="10"/>
      <c r="K32" s="10"/>
      <c r="L32" s="11"/>
      <c r="M32" s="15">
        <v>1</v>
      </c>
      <c r="N32" s="13">
        <v>0</v>
      </c>
      <c r="O32" s="10">
        <v>6000</v>
      </c>
      <c r="P32" s="10">
        <f t="shared" si="0"/>
        <v>6000</v>
      </c>
      <c r="Q32" s="10"/>
      <c r="R32" s="14"/>
      <c r="S32" s="41">
        <f t="shared" si="4"/>
        <v>28.333333333333332</v>
      </c>
    </row>
    <row r="33" spans="1:19" x14ac:dyDescent="0.25">
      <c r="A33" s="1" t="s">
        <v>141</v>
      </c>
      <c r="B33" s="2" t="s">
        <v>81</v>
      </c>
      <c r="C33" s="30">
        <v>9</v>
      </c>
      <c r="D33" s="10">
        <v>400</v>
      </c>
      <c r="E33" s="10">
        <v>35</v>
      </c>
      <c r="F33" s="10"/>
      <c r="G33" s="10">
        <v>4</v>
      </c>
      <c r="H33" s="10"/>
      <c r="I33" s="10" t="s">
        <v>23</v>
      </c>
      <c r="J33" s="10"/>
      <c r="K33" s="10"/>
      <c r="L33" s="11"/>
      <c r="M33" s="15">
        <v>1</v>
      </c>
      <c r="N33" s="13">
        <v>0</v>
      </c>
      <c r="O33" s="10">
        <v>6000</v>
      </c>
      <c r="P33" s="10">
        <f t="shared" si="0"/>
        <v>6000</v>
      </c>
      <c r="Q33" s="10"/>
      <c r="R33" s="14"/>
      <c r="S33" s="41">
        <f t="shared" si="4"/>
        <v>15</v>
      </c>
    </row>
    <row r="34" spans="1:19" x14ac:dyDescent="0.25">
      <c r="C34" s="9"/>
      <c r="D34" s="10"/>
      <c r="E34" s="10"/>
      <c r="F34" s="10"/>
      <c r="G34" s="10"/>
      <c r="H34" s="10"/>
      <c r="I34" s="10"/>
      <c r="J34" s="10"/>
      <c r="K34" s="10"/>
      <c r="L34" s="11"/>
      <c r="M34" s="15"/>
      <c r="N34" s="13"/>
      <c r="O34" s="10"/>
      <c r="P34" s="10"/>
      <c r="Q34" s="10"/>
      <c r="R34" s="14"/>
      <c r="S34" s="16"/>
    </row>
    <row r="35" spans="1:19" x14ac:dyDescent="0.25">
      <c r="A35" s="5"/>
      <c r="B35" s="7" t="s">
        <v>8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0">
        <f>SUM(R4:R33)</f>
        <v>9691.5</v>
      </c>
      <c r="S35" s="48">
        <f>SUM(S4:S34)</f>
        <v>1775.9944444444443</v>
      </c>
    </row>
    <row r="36" spans="1:19" x14ac:dyDescent="0.25">
      <c r="B36" s="34"/>
      <c r="C36" s="3"/>
      <c r="D36" s="3"/>
      <c r="E36" s="3"/>
      <c r="F36" s="3"/>
      <c r="G36" s="3"/>
      <c r="H36" s="3"/>
      <c r="I36" s="3"/>
      <c r="J36" s="3"/>
      <c r="K36" s="3"/>
      <c r="L36" s="3"/>
      <c r="M36" s="6"/>
      <c r="N36" s="3"/>
      <c r="O36" s="3"/>
      <c r="P36" s="3"/>
      <c r="Q36" s="3"/>
      <c r="R36" s="3"/>
      <c r="S36" s="6"/>
    </row>
    <row r="37" spans="1:19" x14ac:dyDescent="0.25">
      <c r="B37" s="3" t="s">
        <v>105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76" customFormat="1" x14ac:dyDescent="0.25">
      <c r="A38" s="85" t="s">
        <v>181</v>
      </c>
      <c r="B38" s="85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</row>
    <row r="39" spans="1:19" x14ac:dyDescent="0.25">
      <c r="A39" t="s">
        <v>155</v>
      </c>
      <c r="B39" t="s">
        <v>187</v>
      </c>
      <c r="C39" s="3"/>
      <c r="D39" s="3">
        <v>20</v>
      </c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x14ac:dyDescent="0.25">
      <c r="A40" t="s">
        <v>156</v>
      </c>
      <c r="B40" t="s">
        <v>184</v>
      </c>
      <c r="D40">
        <v>3</v>
      </c>
    </row>
    <row r="41" spans="1:19" x14ac:dyDescent="0.25">
      <c r="A41" t="s">
        <v>157</v>
      </c>
      <c r="B41" t="s">
        <v>186</v>
      </c>
    </row>
    <row r="42" spans="1:19" x14ac:dyDescent="0.25">
      <c r="A42" t="s">
        <v>190</v>
      </c>
      <c r="B42" t="s">
        <v>188</v>
      </c>
    </row>
    <row r="43" spans="1:19" x14ac:dyDescent="0.25">
      <c r="A43" t="s">
        <v>191</v>
      </c>
      <c r="B43" t="s">
        <v>189</v>
      </c>
    </row>
    <row r="44" spans="1:19" x14ac:dyDescent="0.25">
      <c r="A44" t="s">
        <v>192</v>
      </c>
      <c r="B44" t="s">
        <v>199</v>
      </c>
      <c r="D44">
        <v>4</v>
      </c>
    </row>
    <row r="45" spans="1:19" x14ac:dyDescent="0.25">
      <c r="A45" t="s">
        <v>193</v>
      </c>
    </row>
    <row r="46" spans="1:19" s="76" customFormat="1" x14ac:dyDescent="0.25">
      <c r="A46" s="85" t="s">
        <v>200</v>
      </c>
      <c r="B46" s="85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</row>
    <row r="47" spans="1:19" x14ac:dyDescent="0.25">
      <c r="A47" t="s">
        <v>182</v>
      </c>
      <c r="B47" t="s">
        <v>158</v>
      </c>
    </row>
    <row r="48" spans="1:19" x14ac:dyDescent="0.25">
      <c r="A48" t="s">
        <v>183</v>
      </c>
      <c r="B48" t="s">
        <v>159</v>
      </c>
    </row>
    <row r="49" spans="1:19" x14ac:dyDescent="0.25">
      <c r="A49" t="s">
        <v>185</v>
      </c>
      <c r="B49" t="s">
        <v>160</v>
      </c>
    </row>
    <row r="50" spans="1:19" x14ac:dyDescent="0.25">
      <c r="A50" t="s">
        <v>194</v>
      </c>
      <c r="B50" t="s">
        <v>161</v>
      </c>
    </row>
    <row r="51" spans="1:19" x14ac:dyDescent="0.25">
      <c r="A51" t="s">
        <v>195</v>
      </c>
      <c r="B51" t="s">
        <v>162</v>
      </c>
    </row>
    <row r="52" spans="1:19" x14ac:dyDescent="0.25">
      <c r="A52" t="s">
        <v>196</v>
      </c>
      <c r="B52" t="s">
        <v>163</v>
      </c>
    </row>
    <row r="53" spans="1:19" x14ac:dyDescent="0.25">
      <c r="A53" t="s">
        <v>197</v>
      </c>
      <c r="B53" t="s">
        <v>167</v>
      </c>
    </row>
    <row r="54" spans="1:19" x14ac:dyDescent="0.25">
      <c r="A54" t="s">
        <v>198</v>
      </c>
      <c r="B54" t="s">
        <v>168</v>
      </c>
    </row>
    <row r="56" spans="1:19" s="76" customFormat="1" x14ac:dyDescent="0.25">
      <c r="A56" s="85" t="s">
        <v>208</v>
      </c>
      <c r="B56" s="85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</row>
    <row r="57" spans="1:19" x14ac:dyDescent="0.25">
      <c r="A57" t="s">
        <v>201</v>
      </c>
      <c r="B57" t="s">
        <v>164</v>
      </c>
    </row>
    <row r="58" spans="1:19" x14ac:dyDescent="0.25">
      <c r="A58" t="s">
        <v>202</v>
      </c>
      <c r="B58" t="s">
        <v>165</v>
      </c>
    </row>
    <row r="59" spans="1:19" x14ac:dyDescent="0.25">
      <c r="A59" t="s">
        <v>203</v>
      </c>
      <c r="B59" t="s">
        <v>209</v>
      </c>
    </row>
    <row r="60" spans="1:19" x14ac:dyDescent="0.25">
      <c r="A60" t="s">
        <v>204</v>
      </c>
      <c r="B60" t="s">
        <v>166</v>
      </c>
    </row>
    <row r="61" spans="1:19" x14ac:dyDescent="0.25">
      <c r="A61" t="s">
        <v>205</v>
      </c>
      <c r="B61" t="s">
        <v>210</v>
      </c>
    </row>
    <row r="62" spans="1:19" x14ac:dyDescent="0.25">
      <c r="A62" t="s">
        <v>206</v>
      </c>
      <c r="B62" t="s">
        <v>211</v>
      </c>
    </row>
    <row r="63" spans="1:19" x14ac:dyDescent="0.25">
      <c r="A63" t="s">
        <v>207</v>
      </c>
      <c r="B63" t="s">
        <v>212</v>
      </c>
    </row>
    <row r="64" spans="1:19" x14ac:dyDescent="0.25">
      <c r="A64" t="s">
        <v>218</v>
      </c>
      <c r="B64" t="s">
        <v>213</v>
      </c>
    </row>
    <row r="65" spans="1:19" x14ac:dyDescent="0.25">
      <c r="A65" t="s">
        <v>219</v>
      </c>
      <c r="B65" t="s">
        <v>217</v>
      </c>
    </row>
    <row r="66" spans="1:19" x14ac:dyDescent="0.25">
      <c r="A66" t="s">
        <v>220</v>
      </c>
      <c r="B66" t="s">
        <v>214</v>
      </c>
    </row>
    <row r="67" spans="1:19" x14ac:dyDescent="0.25">
      <c r="A67" t="s">
        <v>221</v>
      </c>
      <c r="B67" t="s">
        <v>215</v>
      </c>
    </row>
    <row r="68" spans="1:19" x14ac:dyDescent="0.25">
      <c r="A68" t="s">
        <v>222</v>
      </c>
      <c r="B68" t="s">
        <v>216</v>
      </c>
    </row>
    <row r="69" spans="1:19" x14ac:dyDescent="0.25">
      <c r="A69" t="s">
        <v>226</v>
      </c>
      <c r="B69" t="s">
        <v>223</v>
      </c>
    </row>
    <row r="70" spans="1:19" x14ac:dyDescent="0.25">
      <c r="A70" t="s">
        <v>227</v>
      </c>
      <c r="B70" t="s">
        <v>224</v>
      </c>
    </row>
    <row r="71" spans="1:19" x14ac:dyDescent="0.25">
      <c r="A71" t="s">
        <v>228</v>
      </c>
      <c r="B71" t="s">
        <v>225</v>
      </c>
    </row>
    <row r="72" spans="1:19" x14ac:dyDescent="0.25">
      <c r="A72" t="s">
        <v>229</v>
      </c>
      <c r="B72" t="s">
        <v>216</v>
      </c>
    </row>
    <row r="74" spans="1:19" s="76" customFormat="1" x14ac:dyDescent="0.25">
      <c r="A74" s="85" t="s">
        <v>232</v>
      </c>
      <c r="B74" s="85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</row>
    <row r="75" spans="1:19" x14ac:dyDescent="0.25">
      <c r="A75" t="s">
        <v>230</v>
      </c>
      <c r="B75" t="s">
        <v>169</v>
      </c>
    </row>
    <row r="76" spans="1:19" x14ac:dyDescent="0.25">
      <c r="A76" t="s">
        <v>233</v>
      </c>
      <c r="B76" t="s">
        <v>170</v>
      </c>
    </row>
    <row r="77" spans="1:19" x14ac:dyDescent="0.25">
      <c r="A77" t="s">
        <v>234</v>
      </c>
      <c r="B77" t="s">
        <v>171</v>
      </c>
    </row>
    <row r="78" spans="1:19" x14ac:dyDescent="0.25">
      <c r="A78" t="s">
        <v>235</v>
      </c>
      <c r="B78" t="s">
        <v>172</v>
      </c>
    </row>
    <row r="79" spans="1:19" x14ac:dyDescent="0.25">
      <c r="A79" t="s">
        <v>236</v>
      </c>
      <c r="B79" t="s">
        <v>173</v>
      </c>
    </row>
    <row r="80" spans="1:19" x14ac:dyDescent="0.25">
      <c r="A80" t="s">
        <v>237</v>
      </c>
      <c r="B80" t="s">
        <v>174</v>
      </c>
    </row>
    <row r="81" spans="1:19" x14ac:dyDescent="0.25">
      <c r="A81" t="s">
        <v>238</v>
      </c>
      <c r="B81" t="s">
        <v>175</v>
      </c>
    </row>
    <row r="82" spans="1:19" x14ac:dyDescent="0.25">
      <c r="A82" t="s">
        <v>239</v>
      </c>
      <c r="B82" t="s">
        <v>176</v>
      </c>
    </row>
    <row r="83" spans="1:19" x14ac:dyDescent="0.25">
      <c r="A83" t="s">
        <v>240</v>
      </c>
      <c r="B83" t="s">
        <v>177</v>
      </c>
    </row>
    <row r="84" spans="1:19" x14ac:dyDescent="0.25">
      <c r="A84" t="s">
        <v>241</v>
      </c>
      <c r="B84" t="s">
        <v>178</v>
      </c>
    </row>
    <row r="85" spans="1:19" x14ac:dyDescent="0.25">
      <c r="A85" t="s">
        <v>242</v>
      </c>
      <c r="B85" t="s">
        <v>179</v>
      </c>
    </row>
    <row r="87" spans="1:19" s="76" customFormat="1" x14ac:dyDescent="0.25">
      <c r="A87" s="85" t="s">
        <v>254</v>
      </c>
      <c r="B87" s="85"/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</row>
    <row r="88" spans="1:19" x14ac:dyDescent="0.25">
      <c r="A88" t="s">
        <v>243</v>
      </c>
      <c r="B88" t="s">
        <v>180</v>
      </c>
    </row>
    <row r="89" spans="1:19" x14ac:dyDescent="0.25">
      <c r="A89" t="s">
        <v>244</v>
      </c>
      <c r="B89" t="s">
        <v>249</v>
      </c>
    </row>
    <row r="90" spans="1:19" x14ac:dyDescent="0.25">
      <c r="A90" t="s">
        <v>245</v>
      </c>
      <c r="B90" t="s">
        <v>250</v>
      </c>
    </row>
    <row r="91" spans="1:19" x14ac:dyDescent="0.25">
      <c r="A91" t="s">
        <v>246</v>
      </c>
      <c r="B91" t="s">
        <v>251</v>
      </c>
    </row>
    <row r="92" spans="1:19" x14ac:dyDescent="0.25">
      <c r="A92" t="s">
        <v>247</v>
      </c>
      <c r="B92" t="s">
        <v>252</v>
      </c>
    </row>
    <row r="93" spans="1:19" x14ac:dyDescent="0.25">
      <c r="A93" t="s">
        <v>248</v>
      </c>
      <c r="B93" t="s">
        <v>253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K93">
        <v>0</v>
      </c>
      <c r="L93">
        <v>0</v>
      </c>
      <c r="M93">
        <v>0</v>
      </c>
    </row>
  </sheetData>
  <mergeCells count="2">
    <mergeCell ref="C1:M1"/>
    <mergeCell ref="N1:S1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I56"/>
  <sheetViews>
    <sheetView workbookViewId="0">
      <selection activeCell="H13" sqref="H13"/>
    </sheetView>
  </sheetViews>
  <sheetFormatPr baseColWidth="10" defaultRowHeight="15" x14ac:dyDescent="0.25"/>
  <cols>
    <col min="1" max="1" width="12.42578125" bestFit="1" customWidth="1"/>
    <col min="2" max="2" width="45" bestFit="1" customWidth="1"/>
    <col min="3" max="3" width="10.7109375" bestFit="1" customWidth="1"/>
    <col min="4" max="4" width="12.42578125" bestFit="1" customWidth="1"/>
    <col min="5" max="5" width="13.5703125" bestFit="1" customWidth="1"/>
    <col min="6" max="6" width="15.42578125" bestFit="1" customWidth="1"/>
    <col min="7" max="7" width="15.7109375" bestFit="1" customWidth="1"/>
    <col min="8" max="8" width="14" bestFit="1" customWidth="1"/>
    <col min="9" max="9" width="15.85546875" bestFit="1" customWidth="1"/>
  </cols>
  <sheetData>
    <row r="1" spans="1:9" x14ac:dyDescent="0.25">
      <c r="B1" s="77"/>
      <c r="C1" s="78"/>
      <c r="D1" s="77"/>
      <c r="E1" s="77"/>
      <c r="F1" s="78"/>
    </row>
    <row r="2" spans="1:9" x14ac:dyDescent="0.25">
      <c r="B2" s="77"/>
      <c r="C2" s="78"/>
      <c r="D2" s="77"/>
      <c r="E2" s="77"/>
      <c r="F2" s="78"/>
    </row>
    <row r="3" spans="1:9" x14ac:dyDescent="0.25">
      <c r="A3" s="35" t="s">
        <v>149</v>
      </c>
      <c r="B3" s="79" t="s">
        <v>33</v>
      </c>
      <c r="C3" s="80" t="s">
        <v>4</v>
      </c>
      <c r="D3" s="79" t="s">
        <v>150</v>
      </c>
      <c r="E3" s="77" t="s">
        <v>151</v>
      </c>
      <c r="F3" s="78"/>
    </row>
    <row r="4" spans="1:9" x14ac:dyDescent="0.25">
      <c r="A4" s="44">
        <v>1</v>
      </c>
      <c r="B4" s="81" t="s">
        <v>152</v>
      </c>
      <c r="C4" s="82">
        <v>24</v>
      </c>
      <c r="D4" s="83">
        <v>20</v>
      </c>
      <c r="E4" s="83">
        <f t="shared" ref="E4:E9" si="0">C4*D4</f>
        <v>480</v>
      </c>
      <c r="F4" s="78"/>
    </row>
    <row r="5" spans="1:9" x14ac:dyDescent="0.25">
      <c r="A5" s="44">
        <v>2</v>
      </c>
      <c r="B5" s="81" t="s">
        <v>153</v>
      </c>
      <c r="C5" s="82">
        <v>24</v>
      </c>
      <c r="D5" s="83">
        <v>20</v>
      </c>
      <c r="E5" s="83">
        <f t="shared" si="0"/>
        <v>480</v>
      </c>
      <c r="F5" s="78"/>
    </row>
    <row r="6" spans="1:9" x14ac:dyDescent="0.25">
      <c r="A6" s="44">
        <v>3</v>
      </c>
      <c r="B6" s="81" t="s">
        <v>154</v>
      </c>
      <c r="C6" s="82">
        <v>24</v>
      </c>
      <c r="D6" s="83">
        <v>20</v>
      </c>
      <c r="E6" s="83">
        <f t="shared" si="0"/>
        <v>480</v>
      </c>
      <c r="F6" s="78"/>
    </row>
    <row r="7" spans="1:9" x14ac:dyDescent="0.25">
      <c r="A7" s="44">
        <v>4</v>
      </c>
      <c r="B7" s="81" t="s">
        <v>153</v>
      </c>
      <c r="C7" s="82">
        <v>24</v>
      </c>
      <c r="D7" s="83">
        <v>20</v>
      </c>
      <c r="E7" s="83">
        <f t="shared" si="0"/>
        <v>480</v>
      </c>
      <c r="F7" s="78"/>
    </row>
    <row r="8" spans="1:9" x14ac:dyDescent="0.25">
      <c r="A8" s="44">
        <v>5</v>
      </c>
      <c r="B8" s="81" t="s">
        <v>154</v>
      </c>
      <c r="C8" s="82">
        <v>24</v>
      </c>
      <c r="D8" s="83">
        <v>20</v>
      </c>
      <c r="E8" s="83">
        <f t="shared" si="0"/>
        <v>480</v>
      </c>
      <c r="F8" s="78"/>
    </row>
    <row r="9" spans="1:9" x14ac:dyDescent="0.25">
      <c r="A9" s="44">
        <v>6</v>
      </c>
      <c r="B9" s="77"/>
      <c r="C9" s="82"/>
      <c r="D9" s="77"/>
      <c r="E9" s="83">
        <f t="shared" si="0"/>
        <v>0</v>
      </c>
      <c r="F9" s="78"/>
    </row>
    <row r="10" spans="1:9" x14ac:dyDescent="0.25">
      <c r="A10" t="s">
        <v>8</v>
      </c>
      <c r="B10" s="77"/>
      <c r="C10" s="78"/>
      <c r="D10" s="77"/>
      <c r="E10" s="89">
        <f>SUM(E4:E9)</f>
        <v>2400</v>
      </c>
      <c r="F10" s="78"/>
    </row>
    <row r="11" spans="1:9" x14ac:dyDescent="0.25">
      <c r="B11" s="77"/>
      <c r="C11" s="78"/>
      <c r="D11" s="77"/>
      <c r="E11" s="77"/>
      <c r="F11" s="78"/>
    </row>
    <row r="12" spans="1:9" x14ac:dyDescent="0.25">
      <c r="B12" s="77"/>
      <c r="C12" s="78"/>
      <c r="D12" s="77"/>
      <c r="E12" s="77"/>
      <c r="F12" s="78"/>
    </row>
    <row r="13" spans="1:9" x14ac:dyDescent="0.25">
      <c r="B13" s="77"/>
      <c r="C13" s="78"/>
      <c r="D13" s="77"/>
      <c r="E13" s="77"/>
      <c r="F13" s="78"/>
    </row>
    <row r="15" spans="1:9" x14ac:dyDescent="0.25">
      <c r="A15" s="19" t="s">
        <v>0</v>
      </c>
      <c r="B15" s="19" t="s">
        <v>6</v>
      </c>
      <c r="C15" s="19" t="s">
        <v>5</v>
      </c>
      <c r="D15" s="19" t="s">
        <v>19</v>
      </c>
      <c r="E15" s="19" t="s">
        <v>24</v>
      </c>
      <c r="F15" s="19" t="s">
        <v>145</v>
      </c>
      <c r="G15" s="28" t="s">
        <v>146</v>
      </c>
      <c r="H15" s="19" t="s">
        <v>148</v>
      </c>
      <c r="I15" s="42" t="s">
        <v>147</v>
      </c>
    </row>
    <row r="16" spans="1:9" x14ac:dyDescent="0.25">
      <c r="A16" s="60" t="s">
        <v>13</v>
      </c>
      <c r="B16" s="61"/>
      <c r="C16" s="62"/>
      <c r="D16" s="63"/>
      <c r="E16" s="63"/>
      <c r="F16" s="64"/>
      <c r="G16" s="63"/>
      <c r="H16" s="65"/>
      <c r="I16" s="65"/>
    </row>
    <row r="17" spans="1:9" x14ac:dyDescent="0.25">
      <c r="A17" s="1" t="s">
        <v>18</v>
      </c>
      <c r="B17" s="2" t="str">
        <f>IF(A17="","",VLOOKUP(A17,'Base Datos'!$A$2:$M$33,2,FALSE))</f>
        <v>Mate con Dije</v>
      </c>
      <c r="C17" s="9">
        <f>IF(A17="","",VLOOKUP(A17,'Base Datos'!$A$2:$S$33,3,FALSE))</f>
        <v>51</v>
      </c>
      <c r="D17" s="22">
        <f>IF(A17="","",VLOOKUP(A17,'Base Datos'!$A$2:$S$33,4,FALSE))</f>
        <v>71</v>
      </c>
      <c r="E17" s="22">
        <f>IF(A17="","",VLOOKUP(A17,'Base Datos'!$A$2:$S$33,8,FALSE))</f>
        <v>120</v>
      </c>
      <c r="F17" s="15">
        <f>IF(A17="","",VLOOKUP(A17,'Base Datos'!$A$2:$S$33,16,FALSE))</f>
        <v>8000</v>
      </c>
      <c r="G17" s="10">
        <v>9000</v>
      </c>
      <c r="H17" s="26">
        <f>Resumen4[[#This Row],[Plan Futuro]]/Resumen4[[#This Row],[Pzs x Hs]]</f>
        <v>126.7605633802817</v>
      </c>
      <c r="I17" s="43"/>
    </row>
    <row r="18" spans="1:9" x14ac:dyDescent="0.25">
      <c r="A18" s="1" t="s">
        <v>44</v>
      </c>
      <c r="B18" s="2" t="str">
        <f>IF(A18="","",VLOOKUP(A18,'Base Datos'!$A$2:$M$33,2,FALSE))</f>
        <v>Mate con Asa PP</v>
      </c>
      <c r="C18" s="9">
        <f>IF(A18="","",VLOOKUP(A18,'Base Datos'!$A$2:$S$33,3,FALSE))</f>
        <v>48</v>
      </c>
      <c r="D18" s="22">
        <f>IF(A18="","",VLOOKUP(A18,'Base Datos'!$A$2:$S$33,4,FALSE))</f>
        <v>75</v>
      </c>
      <c r="E18" s="22">
        <f>IF(A18="","",VLOOKUP(A18,'Base Datos'!$A$2:$S$33,8,FALSE))</f>
        <v>105</v>
      </c>
      <c r="F18" s="15">
        <f>IF(A18="","",VLOOKUP(A18,'Base Datos'!$A$2:$S$33,16,FALSE))</f>
        <v>20000</v>
      </c>
      <c r="G18" s="10">
        <v>20000</v>
      </c>
      <c r="H18" s="26">
        <f>Resumen4[[#This Row],[Plan Futuro]]/Resumen4[[#This Row],[Pzs x Hs]]</f>
        <v>266.66666666666669</v>
      </c>
      <c r="I18" s="43"/>
    </row>
    <row r="19" spans="1:9" x14ac:dyDescent="0.25">
      <c r="A19" s="1" t="s">
        <v>39</v>
      </c>
      <c r="B19" s="2" t="str">
        <f>IF(A19="","",VLOOKUP(A19,'Base Datos'!$A$2:$M$33,2,FALSE))</f>
        <v>Mate con Asa PS Glitter</v>
      </c>
      <c r="C19" s="9">
        <f>IF(A19="","",VLOOKUP(A19,'Base Datos'!$A$2:$S$33,3,FALSE))</f>
        <v>90</v>
      </c>
      <c r="D19" s="22">
        <f>IF(A19="","",VLOOKUP(A19,'Base Datos'!$A$2:$S$33,4,FALSE))</f>
        <v>40</v>
      </c>
      <c r="E19" s="22">
        <f>IF(A19="","",VLOOKUP(A19,'Base Datos'!$A$2:$S$33,8,FALSE))</f>
        <v>130</v>
      </c>
      <c r="F19" s="15">
        <f>IF(A19="","",VLOOKUP(A19,'Base Datos'!$A$2:$S$33,16,FALSE))</f>
        <v>1500</v>
      </c>
      <c r="G19" s="10">
        <v>1500</v>
      </c>
      <c r="H19" s="26">
        <f>Resumen4[[#This Row],[Plan Futuro]]/Resumen4[[#This Row],[Pzs x Hs]]</f>
        <v>37.5</v>
      </c>
      <c r="I19" s="43"/>
    </row>
    <row r="20" spans="1:9" x14ac:dyDescent="0.25">
      <c r="A20" s="1" t="s">
        <v>53</v>
      </c>
      <c r="B20" s="2" t="str">
        <f>IF(A20="","",VLOOKUP(A20,'Base Datos'!$A$2:$M$33,2,FALSE))</f>
        <v>Mate con Asa Fluo</v>
      </c>
      <c r="C20" s="9">
        <f>IF(A20="","",VLOOKUP(A20,'Base Datos'!$A$2:$S$33,3,FALSE))</f>
        <v>35</v>
      </c>
      <c r="D20" s="22">
        <f>IF(A20="","",VLOOKUP(A20,'Base Datos'!$A$2:$S$33,4,FALSE))</f>
        <v>103</v>
      </c>
      <c r="E20" s="22">
        <f>IF(A20="","",VLOOKUP(A20,'Base Datos'!$A$2:$S$33,8,FALSE))</f>
        <v>105</v>
      </c>
      <c r="F20" s="15">
        <f>IF(A20="","",VLOOKUP(A20,'Base Datos'!$A$2:$S$33,16,FALSE))</f>
        <v>1500</v>
      </c>
      <c r="G20" s="10">
        <v>1500</v>
      </c>
      <c r="H20" s="26">
        <f>Resumen4[[#This Row],[Plan Futuro]]/Resumen4[[#This Row],[Pzs x Hs]]</f>
        <v>14.563106796116505</v>
      </c>
      <c r="I20" s="43"/>
    </row>
    <row r="21" spans="1:9" x14ac:dyDescent="0.25">
      <c r="A21" s="1" t="s">
        <v>43</v>
      </c>
      <c r="B21" s="2" t="str">
        <f>IF(A21="","",VLOOKUP(A21,'Base Datos'!$A$2:$M$33,2,FALSE))</f>
        <v>Mate Prisma PP</v>
      </c>
      <c r="C21" s="9">
        <f>IF(A21="","",VLOOKUP(A21,'Base Datos'!$A$2:$S$33,3,FALSE))</f>
        <v>57.4</v>
      </c>
      <c r="D21" s="22">
        <f>IF(A21="","",VLOOKUP(A21,'Base Datos'!$A$2:$S$33,4,FALSE))</f>
        <v>63</v>
      </c>
      <c r="E21" s="22">
        <f>IF(A21="","",VLOOKUP(A21,'Base Datos'!$A$2:$S$33,8,FALSE))</f>
        <v>120</v>
      </c>
      <c r="F21" s="15">
        <f>IF(A21="","",VLOOKUP(A21,'Base Datos'!$A$2:$S$33,16,FALSE))</f>
        <v>7200</v>
      </c>
      <c r="G21" s="10">
        <v>7200</v>
      </c>
      <c r="H21" s="26">
        <f>Resumen4[[#This Row],[Plan Futuro]]/Resumen4[[#This Row],[Pzs x Hs]]</f>
        <v>114.28571428571429</v>
      </c>
      <c r="I21" s="43"/>
    </row>
    <row r="22" spans="1:9" x14ac:dyDescent="0.25">
      <c r="A22" s="1" t="s">
        <v>42</v>
      </c>
      <c r="B22" s="2" t="str">
        <f>IF(A22="","",VLOOKUP(A22,'Base Datos'!$A$2:$M$33,2,FALSE))</f>
        <v>Mate Prisma PS Glitter</v>
      </c>
      <c r="C22" s="9">
        <f>IF(A22="","",VLOOKUP(A22,'Base Datos'!$A$2:$S$33,3,FALSE))</f>
        <v>90</v>
      </c>
      <c r="D22" s="22">
        <f>IF(A22="","",VLOOKUP(A22,'Base Datos'!$A$2:$S$33,4,FALSE))</f>
        <v>40</v>
      </c>
      <c r="E22" s="22">
        <f>IF(A22="","",VLOOKUP(A22,'Base Datos'!$A$2:$S$33,8,FALSE))</f>
        <v>130</v>
      </c>
      <c r="F22" s="15">
        <f>IF(A22="","",VLOOKUP(A22,'Base Datos'!$A$2:$S$33,16,FALSE))</f>
        <v>1000</v>
      </c>
      <c r="G22" s="10">
        <v>1000</v>
      </c>
      <c r="H22" s="26">
        <f>Resumen4[[#This Row],[Plan Futuro]]/Resumen4[[#This Row],[Pzs x Hs]]</f>
        <v>25</v>
      </c>
      <c r="I22" s="43"/>
    </row>
    <row r="23" spans="1:9" x14ac:dyDescent="0.25">
      <c r="A23" s="1" t="s">
        <v>52</v>
      </c>
      <c r="B23" s="2" t="str">
        <f>IF(A23="","",VLOOKUP(A23,'Base Datos'!$A$2:$M$33,2,FALSE))</f>
        <v>Disco extractor</v>
      </c>
      <c r="C23" s="9">
        <f>IF(A23="","",VLOOKUP(A23,'Base Datos'!$A$2:$S$33,3,FALSE))</f>
        <v>3.12</v>
      </c>
      <c r="D23" s="22">
        <f>IF(A23="","",VLOOKUP(A23,'Base Datos'!$A$2:$S$33,4,FALSE))</f>
        <v>1152</v>
      </c>
      <c r="E23" s="22">
        <f>IF(A23="","",VLOOKUP(A23,'Base Datos'!$A$2:$S$33,8,FALSE))</f>
        <v>3.9</v>
      </c>
      <c r="F23" s="15">
        <f>IF(A23="","",VLOOKUP(A23,'Base Datos'!$A$2:$S$33,16,FALSE))</f>
        <v>50000</v>
      </c>
      <c r="G23" s="10">
        <v>50000</v>
      </c>
      <c r="H23" s="26">
        <f>Resumen4[[#This Row],[Plan Futuro]]/Resumen4[[#This Row],[Pzs x Hs]]</f>
        <v>43.402777777777779</v>
      </c>
      <c r="I23" s="43"/>
    </row>
    <row r="24" spans="1:9" x14ac:dyDescent="0.25">
      <c r="A24" s="1" t="s">
        <v>54</v>
      </c>
      <c r="B24" s="2" t="str">
        <f>IF(A24="","",VLOOKUP(A24,'Base Datos'!$A$2:$M$33,2,FALSE))</f>
        <v>Mate Marwal</v>
      </c>
      <c r="C24" s="9">
        <f>IF(A24="","",VLOOKUP(A24,'Base Datos'!$A$2:$S$33,3,FALSE))</f>
        <v>48</v>
      </c>
      <c r="D24" s="22">
        <f>IF(A24="","",VLOOKUP(A24,'Base Datos'!$A$2:$S$33,4,FALSE))</f>
        <v>75</v>
      </c>
      <c r="E24" s="22">
        <f>IF(A24="","",VLOOKUP(A24,'Base Datos'!$A$2:$S$33,8,FALSE))</f>
        <v>115</v>
      </c>
      <c r="F24" s="15">
        <f>IF(A24="","",VLOOKUP(A24,'Base Datos'!$A$2:$S$33,16,FALSE))</f>
        <v>11000</v>
      </c>
      <c r="G24" s="10">
        <v>11000</v>
      </c>
      <c r="H24" s="26">
        <f>Resumen4[[#This Row],[Plan Futuro]]/Resumen4[[#This Row],[Pzs x Hs]]</f>
        <v>146.66666666666666</v>
      </c>
      <c r="I24" s="43"/>
    </row>
    <row r="25" spans="1:9" x14ac:dyDescent="0.25">
      <c r="A25" s="52" t="s">
        <v>36</v>
      </c>
      <c r="B25" s="53"/>
      <c r="C25" s="66"/>
      <c r="D25" s="55"/>
      <c r="E25" s="55"/>
      <c r="F25" s="56"/>
      <c r="G25" s="57"/>
      <c r="H25" s="58"/>
      <c r="I25" s="59"/>
    </row>
    <row r="26" spans="1:9" x14ac:dyDescent="0.25">
      <c r="A26" s="47" t="s">
        <v>59</v>
      </c>
      <c r="B26" s="2" t="str">
        <f>IF(A26="","",VLOOKUP(A26,'Base Datos'!$A$2:$M$33,2,FALSE))</f>
        <v>Lata Alta 6 Colores</v>
      </c>
      <c r="C26" s="9">
        <f>IF(A26="","",VLOOKUP(A26,'Base Datos'!$A$2:$S$33,3,FALSE))</f>
        <v>35</v>
      </c>
      <c r="D26" s="22">
        <f>IF(A26="","",VLOOKUP(A26,'Base Datos'!$A$2:$S$33,4,FALSE))</f>
        <v>103</v>
      </c>
      <c r="E26" s="22">
        <f>IF(A26="","",VLOOKUP(A26,'Base Datos'!$A$2:$S$33,8,FALSE))</f>
        <v>110</v>
      </c>
      <c r="F26" s="15">
        <f>IF(A26="","",VLOOKUP(A26,'Base Datos'!$A$2:$S$33,16,FALSE))</f>
        <v>4080</v>
      </c>
      <c r="G26" s="10">
        <v>4080</v>
      </c>
      <c r="H26" s="26">
        <f>Resumen4[[#This Row],[Plan Futuro]]/Resumen4[[#This Row],[Pzs x Hs]]</f>
        <v>39.61165048543689</v>
      </c>
      <c r="I26" s="43"/>
    </row>
    <row r="27" spans="1:9" x14ac:dyDescent="0.25">
      <c r="A27" s="47" t="s">
        <v>60</v>
      </c>
      <c r="B27" s="2" t="str">
        <f>IF(A27="","",VLOOKUP(A27,'Base Datos'!$A$2:$M$33,2,FALSE))</f>
        <v>Lata Baja 6 Colores</v>
      </c>
      <c r="C27" s="9">
        <f>IF(A27="","",VLOOKUP(A27,'Base Datos'!$A$2:$S$33,3,FALSE))</f>
        <v>35</v>
      </c>
      <c r="D27" s="22">
        <f>IF(A27="","",VLOOKUP(A27,'Base Datos'!$A$2:$S$33,4,FALSE))</f>
        <v>103</v>
      </c>
      <c r="E27" s="22">
        <f>IF(A27="","",VLOOKUP(A27,'Base Datos'!$A$2:$S$33,8,FALSE))</f>
        <v>65</v>
      </c>
      <c r="F27" s="15">
        <f>IF(A27="","",VLOOKUP(A27,'Base Datos'!$A$2:$S$33,16,FALSE))</f>
        <v>4080</v>
      </c>
      <c r="G27" s="10">
        <v>4080</v>
      </c>
      <c r="H27" s="26">
        <f>Resumen4[[#This Row],[Plan Futuro]]/Resumen4[[#This Row],[Pzs x Hs]]</f>
        <v>39.61165048543689</v>
      </c>
      <c r="I27" s="43"/>
    </row>
    <row r="28" spans="1:9" x14ac:dyDescent="0.25">
      <c r="A28" s="47" t="s">
        <v>61</v>
      </c>
      <c r="B28" s="2" t="str">
        <f>IF(A28="","",VLOOKUP(A28,'Base Datos'!$A$2:$M$33,2,FALSE))</f>
        <v>Tapa Lata 6 Colores</v>
      </c>
      <c r="C28" s="9">
        <f>IF(A28="","",VLOOKUP(A28,'Base Datos'!$A$2:$S$33,3,FALSE))</f>
        <v>30</v>
      </c>
      <c r="D28" s="22">
        <f>IF(A28="","",VLOOKUP(A28,'Base Datos'!$A$2:$S$33,4,FALSE))</f>
        <v>120</v>
      </c>
      <c r="E28" s="22">
        <f>IF(A28="","",VLOOKUP(A28,'Base Datos'!$A$2:$S$33,8,FALSE))</f>
        <v>20</v>
      </c>
      <c r="F28" s="15">
        <f>IF(A28="","",VLOOKUP(A28,'Base Datos'!$A$2:$S$33,16,FALSE))</f>
        <v>15000</v>
      </c>
      <c r="G28" s="10">
        <v>15000</v>
      </c>
      <c r="H28" s="26">
        <f>Resumen4[[#This Row],[Plan Futuro]]/Resumen4[[#This Row],[Pzs x Hs]]</f>
        <v>125</v>
      </c>
      <c r="I28" s="43"/>
    </row>
    <row r="29" spans="1:9" x14ac:dyDescent="0.25">
      <c r="A29" s="47" t="s">
        <v>63</v>
      </c>
      <c r="B29" s="2" t="str">
        <f>IF(A29="","",VLOOKUP(A29,'Base Datos'!$A$2:$M$33,2,FALSE))</f>
        <v>Lata Alta Glitter</v>
      </c>
      <c r="C29" s="9">
        <f>IF(A29="","",VLOOKUP(A29,'Base Datos'!$A$2:$S$33,3,FALSE))</f>
        <v>35</v>
      </c>
      <c r="D29" s="22">
        <f>IF(A29="","",VLOOKUP(A29,'Base Datos'!$A$2:$S$33,4,FALSE))</f>
        <v>103</v>
      </c>
      <c r="E29" s="22">
        <f>IF(A29="","",VLOOKUP(A29,'Base Datos'!$A$2:$S$33,8,FALSE))</f>
        <v>110</v>
      </c>
      <c r="F29" s="15">
        <f>IF(A29="","",VLOOKUP(A29,'Base Datos'!$A$2:$S$33,16,FALSE))</f>
        <v>1360</v>
      </c>
      <c r="G29" s="10">
        <v>1360</v>
      </c>
      <c r="H29" s="26">
        <f>Resumen4[[#This Row],[Plan Futuro]]/Resumen4[[#This Row],[Pzs x Hs]]</f>
        <v>13.203883495145631</v>
      </c>
      <c r="I29" s="43"/>
    </row>
    <row r="30" spans="1:9" x14ac:dyDescent="0.25">
      <c r="A30" s="47" t="s">
        <v>64</v>
      </c>
      <c r="B30" s="2" t="str">
        <f>IF(A30="","",VLOOKUP(A30,'Base Datos'!$A$2:$M$33,2,FALSE))</f>
        <v>Lata Baja Glitter</v>
      </c>
      <c r="C30" s="9">
        <f>IF(A30="","",VLOOKUP(A30,'Base Datos'!$A$2:$S$33,3,FALSE))</f>
        <v>35</v>
      </c>
      <c r="D30" s="22">
        <f>IF(A30="","",VLOOKUP(A30,'Base Datos'!$A$2:$S$33,4,FALSE))</f>
        <v>103</v>
      </c>
      <c r="E30" s="22">
        <f>IF(A30="","",VLOOKUP(A30,'Base Datos'!$A$2:$S$33,8,FALSE))</f>
        <v>65</v>
      </c>
      <c r="F30" s="15">
        <f>IF(A30="","",VLOOKUP(A30,'Base Datos'!$A$2:$S$33,16,FALSE))</f>
        <v>1360</v>
      </c>
      <c r="G30" s="10">
        <v>1360</v>
      </c>
      <c r="H30" s="26">
        <f>Resumen4[[#This Row],[Plan Futuro]]/Resumen4[[#This Row],[Pzs x Hs]]</f>
        <v>13.203883495145631</v>
      </c>
      <c r="I30" s="43"/>
    </row>
    <row r="31" spans="1:9" x14ac:dyDescent="0.25">
      <c r="A31" s="60" t="s">
        <v>134</v>
      </c>
      <c r="B31" s="61"/>
      <c r="C31" s="66"/>
      <c r="D31" s="67"/>
      <c r="E31" s="67"/>
      <c r="F31" s="68"/>
      <c r="G31" s="63"/>
      <c r="H31" s="65"/>
      <c r="I31" s="69"/>
    </row>
    <row r="32" spans="1:9" x14ac:dyDescent="0.25">
      <c r="A32" s="1" t="s">
        <v>46</v>
      </c>
      <c r="B32" s="2" t="str">
        <f>IF(A32="","",VLOOKUP(A32,'Base Datos'!$A$2:$M$33,2,FALSE))</f>
        <v>Marco superior pico transparente</v>
      </c>
      <c r="C32" s="9">
        <f>IF(A32="","",VLOOKUP(A32,'Base Datos'!$A$2:$S$33,3,FALSE))</f>
        <v>4.75</v>
      </c>
      <c r="D32" s="22">
        <f>IF(A32="","",VLOOKUP(A32,'Base Datos'!$A$2:$S$33,4,FALSE))</f>
        <v>752</v>
      </c>
      <c r="E32" s="22">
        <f>IF(A32="","",VLOOKUP(A32,'Base Datos'!$A$2:$S$33,8,FALSE))</f>
        <v>2.8</v>
      </c>
      <c r="F32" s="15">
        <f>IF(A32="","",VLOOKUP(A32,'Base Datos'!$A$2:$S$33,16,FALSE))</f>
        <v>120000</v>
      </c>
      <c r="G32" s="10">
        <v>120000</v>
      </c>
      <c r="H32" s="26">
        <f>Resumen4[[#This Row],[Plan Futuro]]/Resumen4[[#This Row],[Pzs x Hs]]</f>
        <v>159.57446808510639</v>
      </c>
      <c r="I32" s="43"/>
    </row>
    <row r="33" spans="1:9" x14ac:dyDescent="0.25">
      <c r="A33" s="1" t="s">
        <v>49</v>
      </c>
      <c r="B33" s="2" t="str">
        <f>IF(A33="","",VLOOKUP(A33,'Base Datos'!$A$2:$M$33,2,FALSE))</f>
        <v>Marco inferior pico transparente</v>
      </c>
      <c r="C33" s="9">
        <f>IF(A33="","",VLOOKUP(A33,'Base Datos'!$A$2:$S$33,3,FALSE))</f>
        <v>2.25</v>
      </c>
      <c r="D33" s="22">
        <f>IF(A33="","",VLOOKUP(A33,'Base Datos'!$A$2:$S$33,4,FALSE))</f>
        <v>1596</v>
      </c>
      <c r="E33" s="22">
        <f>IF(A33="","",VLOOKUP(A33,'Base Datos'!$A$2:$S$33,8,FALSE))</f>
        <v>2.8</v>
      </c>
      <c r="F33" s="15">
        <f>IF(A33="","",VLOOKUP(A33,'Base Datos'!$A$2:$S$33,16,FALSE))</f>
        <v>120000</v>
      </c>
      <c r="G33" s="10">
        <v>120000</v>
      </c>
      <c r="H33" s="26">
        <f>Resumen4[[#This Row],[Plan Futuro]]/Resumen4[[#This Row],[Pzs x Hs]]</f>
        <v>75.187969924812023</v>
      </c>
      <c r="I33" s="43"/>
    </row>
    <row r="34" spans="1:9" x14ac:dyDescent="0.25">
      <c r="A34" s="1" t="s">
        <v>50</v>
      </c>
      <c r="B34" s="2" t="str">
        <f>IF(A34="","",VLOOKUP(A34,'Base Datos'!$A$2:$M$33,2,FALSE))</f>
        <v>Vertedor pico transparente</v>
      </c>
      <c r="C34" s="9">
        <f>IF(A34="","",VLOOKUP(A34,'Base Datos'!$A$2:$S$33,3,FALSE))</f>
        <v>5</v>
      </c>
      <c r="D34" s="22">
        <f>IF(A34="","",VLOOKUP(A34,'Base Datos'!$A$2:$S$33,4,FALSE))</f>
        <v>720</v>
      </c>
      <c r="E34" s="22">
        <f>IF(A34="","",VLOOKUP(A34,'Base Datos'!$A$2:$S$33,8,FALSE))</f>
        <v>6.2</v>
      </c>
      <c r="F34" s="15">
        <f>IF(A34="","",VLOOKUP(A34,'Base Datos'!$A$2:$S$33,16,FALSE))</f>
        <v>120000</v>
      </c>
      <c r="G34" s="10">
        <v>120000</v>
      </c>
      <c r="H34" s="26">
        <f>Resumen4[[#This Row],[Plan Futuro]]/Resumen4[[#This Row],[Pzs x Hs]]</f>
        <v>166.66666666666666</v>
      </c>
      <c r="I34" s="43"/>
    </row>
    <row r="35" spans="1:9" x14ac:dyDescent="0.25">
      <c r="A35" s="1" t="s">
        <v>62</v>
      </c>
      <c r="B35" s="2" t="str">
        <f>IF(A35="","",VLOOKUP(A35,'Base Datos'!$A$2:$M$33,2,FALSE))</f>
        <v>Vertedor pico Colores</v>
      </c>
      <c r="C35" s="9">
        <f>IF(A35="","",VLOOKUP(A35,'Base Datos'!$A$2:$S$33,3,FALSE))</f>
        <v>5</v>
      </c>
      <c r="D35" s="22">
        <f>IF(A35="","",VLOOKUP(A35,'Base Datos'!$A$2:$S$33,4,FALSE))</f>
        <v>720</v>
      </c>
      <c r="E35" s="22">
        <f>IF(A35="","",VLOOKUP(A35,'Base Datos'!$A$2:$S$33,8,FALSE))</f>
        <v>6.2</v>
      </c>
      <c r="F35" s="15">
        <f>IF(A35="","",VLOOKUP(A35,'Base Datos'!$A$2:$S$33,16,FALSE))</f>
        <v>120000</v>
      </c>
      <c r="G35" s="10">
        <v>15000</v>
      </c>
      <c r="H35" s="26">
        <f>Resumen4[[#This Row],[Plan Futuro]]/Resumen4[[#This Row],[Pzs x Hs]]</f>
        <v>20.833333333333332</v>
      </c>
      <c r="I35" s="43"/>
    </row>
    <row r="36" spans="1:9" x14ac:dyDescent="0.25">
      <c r="A36" s="1" t="s">
        <v>69</v>
      </c>
      <c r="B36" s="2" t="str">
        <f>IF(A36="","",VLOOKUP(A36,'Base Datos'!$A$2:$M$33,2,FALSE))</f>
        <v>Marco superior pico NEGRO</v>
      </c>
      <c r="C36" s="9">
        <f>IF(A36="","",VLOOKUP(A36,'Base Datos'!$A$2:$S$33,3,FALSE))</f>
        <v>4.75</v>
      </c>
      <c r="D36" s="22">
        <f>IF(A36="","",VLOOKUP(A36,'Base Datos'!$A$2:$S$33,4,FALSE))</f>
        <v>752</v>
      </c>
      <c r="E36" s="22">
        <f>IF(A36="","",VLOOKUP(A36,'Base Datos'!$A$2:$S$33,8,FALSE))</f>
        <v>2.8</v>
      </c>
      <c r="F36" s="15">
        <f>IF(A36="","",VLOOKUP(A36,'Base Datos'!$A$2:$S$33,16,FALSE))</f>
        <v>20000</v>
      </c>
      <c r="G36" s="10">
        <v>20000</v>
      </c>
      <c r="H36" s="26">
        <f>Resumen4[[#This Row],[Plan Futuro]]/Resumen4[[#This Row],[Pzs x Hs]]</f>
        <v>26.595744680851062</v>
      </c>
      <c r="I36" s="43"/>
    </row>
    <row r="37" spans="1:9" x14ac:dyDescent="0.25">
      <c r="A37" s="1" t="s">
        <v>73</v>
      </c>
      <c r="B37" s="2" t="str">
        <f>IF(A37="","",VLOOKUP(A37,'Base Datos'!$A$2:$M$33,2,FALSE))</f>
        <v>Marco inferior pico NEGRO</v>
      </c>
      <c r="C37" s="9">
        <f>IF(A37="","",VLOOKUP(A37,'Base Datos'!$A$2:$S$33,3,FALSE))</f>
        <v>2.25</v>
      </c>
      <c r="D37" s="22">
        <f>IF(A37="","",VLOOKUP(A37,'Base Datos'!$A$2:$S$33,4,FALSE))</f>
        <v>1596</v>
      </c>
      <c r="E37" s="22">
        <f>IF(A37="","",VLOOKUP(A37,'Base Datos'!$A$2:$S$33,8,FALSE))</f>
        <v>2.8</v>
      </c>
      <c r="F37" s="15">
        <f>IF(A37="","",VLOOKUP(A37,'Base Datos'!$A$2:$S$33,16,FALSE))</f>
        <v>20000</v>
      </c>
      <c r="G37" s="10">
        <v>20000</v>
      </c>
      <c r="H37" s="26">
        <f>Resumen4[[#This Row],[Plan Futuro]]/Resumen4[[#This Row],[Pzs x Hs]]</f>
        <v>12.531328320802006</v>
      </c>
      <c r="I37" s="43"/>
    </row>
    <row r="38" spans="1:9" x14ac:dyDescent="0.25">
      <c r="A38" s="1" t="s">
        <v>74</v>
      </c>
      <c r="B38" s="2" t="str">
        <f>IF(A38="","",VLOOKUP(A38,'Base Datos'!$A$2:$M$33,2,FALSE))</f>
        <v>Vertedor pico NEGRO</v>
      </c>
      <c r="C38" s="9">
        <f>IF(A38="","",VLOOKUP(A38,'Base Datos'!$A$2:$S$33,3,FALSE))</f>
        <v>5</v>
      </c>
      <c r="D38" s="22">
        <f>IF(A38="","",VLOOKUP(A38,'Base Datos'!$A$2:$S$33,4,FALSE))</f>
        <v>720</v>
      </c>
      <c r="E38" s="22">
        <f>IF(A38="","",VLOOKUP(A38,'Base Datos'!$A$2:$S$33,8,FALSE))</f>
        <v>6.2</v>
      </c>
      <c r="F38" s="15">
        <f>IF(A38="","",VLOOKUP(A38,'Base Datos'!$A$2:$S$33,16,FALSE))</f>
        <v>20000</v>
      </c>
      <c r="G38" s="10">
        <v>20000</v>
      </c>
      <c r="H38" s="26">
        <f>Resumen4[[#This Row],[Plan Futuro]]/Resumen4[[#This Row],[Pzs x Hs]]</f>
        <v>27.777777777777779</v>
      </c>
      <c r="I38" s="43"/>
    </row>
    <row r="39" spans="1:9" x14ac:dyDescent="0.25">
      <c r="A39" s="1" t="s">
        <v>75</v>
      </c>
      <c r="B39" s="2" t="str">
        <f>IF(A39="","",VLOOKUP(A39,'Base Datos'!$A$2:$M$33,2,FALSE))</f>
        <v>Marco superior pico BLANCO</v>
      </c>
      <c r="C39" s="9">
        <f>IF(A39="","",VLOOKUP(A39,'Base Datos'!$A$2:$S$33,3,FALSE))</f>
        <v>4.75</v>
      </c>
      <c r="D39" s="22">
        <f>IF(A39="","",VLOOKUP(A39,'Base Datos'!$A$2:$S$33,4,FALSE))</f>
        <v>752</v>
      </c>
      <c r="E39" s="22">
        <f>IF(A39="","",VLOOKUP(A39,'Base Datos'!$A$2:$S$33,8,FALSE))</f>
        <v>2.8</v>
      </c>
      <c r="F39" s="15">
        <f>IF(A39="","",VLOOKUP(A39,'Base Datos'!$A$2:$S$33,16,FALSE))</f>
        <v>15000</v>
      </c>
      <c r="G39" s="10">
        <v>15000</v>
      </c>
      <c r="H39" s="26">
        <f>Resumen4[[#This Row],[Plan Futuro]]/Resumen4[[#This Row],[Pzs x Hs]]</f>
        <v>19.946808510638299</v>
      </c>
      <c r="I39" s="43"/>
    </row>
    <row r="40" spans="1:9" x14ac:dyDescent="0.25">
      <c r="A40" s="1" t="s">
        <v>76</v>
      </c>
      <c r="B40" s="2" t="str">
        <f>IF(A40="","",VLOOKUP(A40,'Base Datos'!$A$2:$M$33,2,FALSE))</f>
        <v>Marco inferior pico BLANCO</v>
      </c>
      <c r="C40" s="9">
        <f>IF(A40="","",VLOOKUP(A40,'Base Datos'!$A$2:$S$33,3,FALSE))</f>
        <v>2.25</v>
      </c>
      <c r="D40" s="22">
        <f>IF(A40="","",VLOOKUP(A40,'Base Datos'!$A$2:$S$33,4,FALSE))</f>
        <v>1596</v>
      </c>
      <c r="E40" s="22">
        <f>IF(A40="","",VLOOKUP(A40,'Base Datos'!$A$2:$S$33,8,FALSE))</f>
        <v>2.8</v>
      </c>
      <c r="F40" s="15">
        <f>IF(A40="","",VLOOKUP(A40,'Base Datos'!$A$2:$S$33,16,FALSE))</f>
        <v>15000</v>
      </c>
      <c r="G40" s="10">
        <v>15000</v>
      </c>
      <c r="H40" s="26">
        <f>Resumen4[[#This Row],[Plan Futuro]]/Resumen4[[#This Row],[Pzs x Hs]]</f>
        <v>9.3984962406015029</v>
      </c>
      <c r="I40" s="43"/>
    </row>
    <row r="41" spans="1:9" x14ac:dyDescent="0.25">
      <c r="A41" s="1" t="s">
        <v>77</v>
      </c>
      <c r="B41" s="2" t="str">
        <f>IF(A41="","",VLOOKUP(A41,'Base Datos'!$A$2:$M$33,2,FALSE))</f>
        <v>Vertedor pico BLANCO</v>
      </c>
      <c r="C41" s="9">
        <f>IF(A41="","",VLOOKUP(A41,'Base Datos'!$A$2:$S$33,3,FALSE))</f>
        <v>5</v>
      </c>
      <c r="D41" s="22">
        <f>IF(A41="","",VLOOKUP(A41,'Base Datos'!$A$2:$S$33,4,FALSE))</f>
        <v>720</v>
      </c>
      <c r="E41" s="22">
        <f>IF(A41="","",VLOOKUP(A41,'Base Datos'!$A$2:$S$33,8,FALSE))</f>
        <v>6.2</v>
      </c>
      <c r="F41" s="15">
        <f>IF(A41="","",VLOOKUP(A41,'Base Datos'!$A$2:$S$33,16,FALSE))</f>
        <v>15000</v>
      </c>
      <c r="G41" s="10">
        <v>15000</v>
      </c>
      <c r="H41" s="26">
        <f>Resumen4[[#This Row],[Plan Futuro]]/Resumen4[[#This Row],[Pzs x Hs]]</f>
        <v>20.833333333333332</v>
      </c>
      <c r="I41" s="43"/>
    </row>
    <row r="42" spans="1:9" x14ac:dyDescent="0.25">
      <c r="A42" s="70" t="s">
        <v>135</v>
      </c>
      <c r="B42" s="61"/>
      <c r="C42" s="66"/>
      <c r="D42" s="67"/>
      <c r="E42" s="67"/>
      <c r="F42" s="68"/>
      <c r="G42" s="63"/>
      <c r="H42" s="65"/>
      <c r="I42" s="69"/>
    </row>
    <row r="43" spans="1:9" x14ac:dyDescent="0.25">
      <c r="A43" s="1" t="s">
        <v>138</v>
      </c>
      <c r="B43" s="2" t="str">
        <f>IF(A43="","",VLOOKUP(A43,'Base Datos'!$A$2:$M$33,2,FALSE))</f>
        <v>Vaso Autocebante</v>
      </c>
      <c r="C43" s="9">
        <f>IF(A43="","",VLOOKUP(A43,'Base Datos'!$A$2:$S$33,3,FALSE))</f>
        <v>17</v>
      </c>
      <c r="D43" s="22">
        <f>IF(A43="","",VLOOKUP(A43,'Base Datos'!$A$2:$S$33,4,FALSE))</f>
        <v>211</v>
      </c>
      <c r="E43" s="22">
        <f>IF(A43="","",VLOOKUP(A43,'Base Datos'!$A$2:$S$33,8,FALSE))</f>
        <v>0</v>
      </c>
      <c r="F43" s="15">
        <f>IF(A43="","",VLOOKUP(A43,'Base Datos'!$A$2:$S$33,16,FALSE))</f>
        <v>6000</v>
      </c>
      <c r="G43" s="10">
        <v>10000</v>
      </c>
      <c r="H43" s="26">
        <f>Resumen4[[#This Row],[Plan Futuro]]/Resumen4[[#This Row],[Pzs x Hs]]</f>
        <v>47.393364928909953</v>
      </c>
      <c r="I43" s="43"/>
    </row>
    <row r="44" spans="1:9" x14ac:dyDescent="0.25">
      <c r="A44" s="1" t="s">
        <v>139</v>
      </c>
      <c r="B44" s="2" t="str">
        <f>IF(A44="","",VLOOKUP(A44,'Base Datos'!$A$2:$M$33,2,FALSE))</f>
        <v>Jarro Autocebante</v>
      </c>
      <c r="C44" s="9">
        <f>IF(A44="","",VLOOKUP(A44,'Base Datos'!$A$2:$S$33,3,FALSE))</f>
        <v>17</v>
      </c>
      <c r="D44" s="22">
        <f>IF(A44="","",VLOOKUP(A44,'Base Datos'!$A$2:$S$33,4,FALSE))</f>
        <v>211</v>
      </c>
      <c r="E44" s="22">
        <f>IF(A44="","",VLOOKUP(A44,'Base Datos'!$A$2:$S$33,8,FALSE))</f>
        <v>0</v>
      </c>
      <c r="F44" s="15">
        <f>IF(A44="","",VLOOKUP(A44,'Base Datos'!$A$2:$S$33,16,FALSE))</f>
        <v>6000</v>
      </c>
      <c r="G44" s="10">
        <v>10000</v>
      </c>
      <c r="H44" s="26">
        <f>Resumen4[[#This Row],[Plan Futuro]]/Resumen4[[#This Row],[Pzs x Hs]]</f>
        <v>47.393364928909953</v>
      </c>
      <c r="I44" s="43"/>
    </row>
    <row r="45" spans="1:9" x14ac:dyDescent="0.25">
      <c r="A45" s="1" t="s">
        <v>140</v>
      </c>
      <c r="B45" s="2" t="str">
        <f>IF(A45="","",VLOOKUP(A45,'Base Datos'!$A$2:$M$33,2,FALSE))</f>
        <v>Taza a rosca Autocebante</v>
      </c>
      <c r="C45" s="9">
        <f>IF(A45="","",VLOOKUP(A45,'Base Datos'!$A$2:$S$33,3,FALSE))</f>
        <v>17</v>
      </c>
      <c r="D45" s="22">
        <f>IF(A45="","",VLOOKUP(A45,'Base Datos'!$A$2:$S$33,4,FALSE))</f>
        <v>211</v>
      </c>
      <c r="E45" s="22">
        <f>IF(A45="","",VLOOKUP(A45,'Base Datos'!$A$2:$S$33,8,FALSE))</f>
        <v>0</v>
      </c>
      <c r="F45" s="15">
        <f>IF(A45="","",VLOOKUP(A45,'Base Datos'!$A$2:$S$33,16,FALSE))</f>
        <v>6000</v>
      </c>
      <c r="G45" s="10">
        <v>10000</v>
      </c>
      <c r="H45" s="26">
        <f>Resumen4[[#This Row],[Plan Futuro]]/Resumen4[[#This Row],[Pzs x Hs]]</f>
        <v>47.393364928909953</v>
      </c>
      <c r="I45" s="43"/>
    </row>
    <row r="46" spans="1:9" x14ac:dyDescent="0.25">
      <c r="A46" s="1" t="s">
        <v>141</v>
      </c>
      <c r="B46" s="2" t="str">
        <f>IF(A46="","",VLOOKUP(A46,'Base Datos'!$A$2:$M$33,2,FALSE))</f>
        <v>Tapa Autocebante</v>
      </c>
      <c r="C46" s="9">
        <f>IF(A46="","",VLOOKUP(A46,'Base Datos'!$A$2:$S$33,3,FALSE))</f>
        <v>9</v>
      </c>
      <c r="D46" s="22">
        <f>IF(A46="","",VLOOKUP(A46,'Base Datos'!$A$2:$S$33,4,FALSE))</f>
        <v>400</v>
      </c>
      <c r="E46" s="22">
        <f>IF(A46="","",VLOOKUP(A46,'Base Datos'!$A$2:$S$33,8,FALSE))</f>
        <v>0</v>
      </c>
      <c r="F46" s="15">
        <f>IF(A46="","",VLOOKUP(A46,'Base Datos'!$A$2:$S$33,16,FALSE))</f>
        <v>6000</v>
      </c>
      <c r="G46" s="10">
        <v>10000</v>
      </c>
      <c r="H46" s="26">
        <f>Resumen4[[#This Row],[Plan Futuro]]/Resumen4[[#This Row],[Pzs x Hs]]</f>
        <v>25</v>
      </c>
      <c r="I46" s="43"/>
    </row>
    <row r="47" spans="1:9" x14ac:dyDescent="0.25">
      <c r="A47" s="70" t="s">
        <v>231</v>
      </c>
      <c r="B47" s="88"/>
      <c r="C47" s="66"/>
      <c r="D47" s="67"/>
      <c r="E47" s="67"/>
      <c r="F47" s="68"/>
      <c r="G47" s="63"/>
      <c r="H47" s="65"/>
      <c r="I47" s="69"/>
    </row>
    <row r="48" spans="1:9" x14ac:dyDescent="0.25">
      <c r="A48" s="21" t="s">
        <v>155</v>
      </c>
      <c r="B48" s="2" t="str">
        <f>IF(A48="","",VLOOKUP(A48,'Base Datos'!$A$2:$M$147,2,FALSE))</f>
        <v>Falta</v>
      </c>
      <c r="C48" s="8"/>
      <c r="D48" s="22">
        <f>IF(A48="","",VLOOKUP(A48,'Base Datos'!$A$2:$S$147,4,FALSE))</f>
        <v>20</v>
      </c>
      <c r="E48" s="87">
        <f>IF(A48="","",VLOOKUP(A48,'Base Datos'!$A$2:$S$147,8,FALSE))</f>
        <v>0</v>
      </c>
      <c r="F48" s="49"/>
      <c r="G48" s="10">
        <v>6</v>
      </c>
      <c r="H48" s="26">
        <f>Resumen4[[#This Row],[Plan Futuro]]*Resumen4[[#This Row],[Pzs x Hs]]</f>
        <v>120</v>
      </c>
      <c r="I48" s="17"/>
    </row>
    <row r="49" spans="1:9" x14ac:dyDescent="0.25">
      <c r="A49" s="21" t="s">
        <v>156</v>
      </c>
      <c r="B49" s="2" t="str">
        <f>IF(A49="","",VLOOKUP(A49,'Base Datos'!$A$2:$M$147,2,FALSE))</f>
        <v>LLegada Tarde</v>
      </c>
      <c r="C49" s="8"/>
      <c r="D49" s="22">
        <f>IF(A49="","",VLOOKUP(A49,'Base Datos'!$A$2:$S$147,4,FALSE))</f>
        <v>3</v>
      </c>
      <c r="E49" s="87">
        <f>IF(A49="","",VLOOKUP(A49,'Base Datos'!$A$2:$S$147,8,FALSE))</f>
        <v>0</v>
      </c>
      <c r="F49" s="49"/>
      <c r="G49" s="10">
        <v>6</v>
      </c>
      <c r="H49" s="26">
        <f>Resumen4[[#This Row],[Plan Futuro]]*Resumen4[[#This Row],[Pzs x Hs]]</f>
        <v>18</v>
      </c>
      <c r="I49" s="17"/>
    </row>
    <row r="50" spans="1:9" x14ac:dyDescent="0.25">
      <c r="A50" s="21" t="s">
        <v>192</v>
      </c>
      <c r="B50" s="2" t="str">
        <f>IF(A50="","",VLOOKUP(A50,'Base Datos'!$A$2:$M$147,2,FALSE))</f>
        <v>Cambio de Molde</v>
      </c>
      <c r="C50" s="8"/>
      <c r="D50" s="22">
        <f>IF(A50="","",VLOOKUP(A50,'Base Datos'!$A$2:$S$147,4,FALSE))</f>
        <v>4</v>
      </c>
      <c r="E50" s="87">
        <f>IF(A50="","",VLOOKUP(A50,'Base Datos'!$A$2:$S$147,8,FALSE))</f>
        <v>0</v>
      </c>
      <c r="F50" s="49"/>
      <c r="G50" s="10">
        <v>15</v>
      </c>
      <c r="H50" s="26">
        <f>Resumen4[[#This Row],[Plan Futuro]]*Resumen4[[#This Row],[Pzs x Hs]]</f>
        <v>60</v>
      </c>
      <c r="I50" s="17"/>
    </row>
    <row r="51" spans="1:9" x14ac:dyDescent="0.25">
      <c r="A51" s="21" t="s">
        <v>201</v>
      </c>
      <c r="B51" s="2" t="str">
        <f>IF(A51="","",VLOOKUP(A51,'Base Datos'!$A$2:$M$147,2,FALSE))</f>
        <v>Problema molde</v>
      </c>
      <c r="C51" s="8"/>
      <c r="D51" s="86"/>
      <c r="E51" s="87">
        <f>IF(A51="","",VLOOKUP(A51,'Base Datos'!$A$2:$S$147,8,FALSE))</f>
        <v>0</v>
      </c>
      <c r="F51" s="49"/>
      <c r="G51" s="10"/>
      <c r="H51" s="26">
        <f>Resumen4[[#This Row],[Plan Futuro]]*Resumen4[[#This Row],[Pzs x Hs]]</f>
        <v>0</v>
      </c>
      <c r="I51" s="17"/>
    </row>
    <row r="52" spans="1:9" x14ac:dyDescent="0.25">
      <c r="A52" s="21"/>
      <c r="B52" s="2" t="str">
        <f>IF(A52="","",VLOOKUP(A52,'Base Datos'!$A$2:$M$147,2,FALSE))</f>
        <v/>
      </c>
      <c r="C52" s="8"/>
      <c r="D52" s="86"/>
      <c r="E52" s="87" t="str">
        <f>IF(A52="","",VLOOKUP(A52,'Base Datos'!$A$2:$S$147,8,FALSE))</f>
        <v/>
      </c>
      <c r="F52" s="49"/>
      <c r="G52" s="10"/>
      <c r="H52" s="26">
        <f>Resumen4[[#This Row],[Plan Futuro]]*Resumen4[[#This Row],[Pzs x Hs]]</f>
        <v>0</v>
      </c>
      <c r="I52" s="17"/>
    </row>
    <row r="53" spans="1:9" x14ac:dyDescent="0.25">
      <c r="A53" s="21"/>
      <c r="B53" s="2" t="str">
        <f>IF(A53="","",VLOOKUP(A53,'Base Datos'!$A$2:$M$147,2,FALSE))</f>
        <v/>
      </c>
      <c r="C53" s="8"/>
      <c r="D53" s="86"/>
      <c r="E53" s="87" t="str">
        <f>IF(A53="","",VLOOKUP(A53,'Base Datos'!$A$2:$S$147,8,FALSE))</f>
        <v/>
      </c>
      <c r="F53" s="49"/>
      <c r="G53" s="10"/>
      <c r="H53" s="26">
        <f>Resumen4[[#This Row],[Plan Futuro]]*Resumen4[[#This Row],[Pzs x Hs]]</f>
        <v>0</v>
      </c>
      <c r="I53" s="17"/>
    </row>
    <row r="54" spans="1:9" x14ac:dyDescent="0.25">
      <c r="A54" s="21"/>
      <c r="B54" s="2" t="str">
        <f>IF(A54="","",VLOOKUP(A54,'Base Datos'!$A$2:$M$147,2,FALSE))</f>
        <v/>
      </c>
      <c r="C54" s="8"/>
      <c r="D54" s="86"/>
      <c r="E54" s="87" t="str">
        <f>IF(A54="","",VLOOKUP(A54,'Base Datos'!$A$2:$S$147,8,FALSE))</f>
        <v/>
      </c>
      <c r="F54" s="49"/>
      <c r="G54" s="10"/>
      <c r="H54" s="26">
        <f>Resumen4[[#This Row],[Plan Futuro]]*Resumen4[[#This Row],[Pzs x Hs]]</f>
        <v>0</v>
      </c>
      <c r="I54" s="17"/>
    </row>
    <row r="55" spans="1:9" x14ac:dyDescent="0.25">
      <c r="A55" s="2"/>
      <c r="C55" s="9"/>
      <c r="D55" s="10"/>
      <c r="E55" s="10" t="str">
        <f>IF(A55="","",VLOOKUP(A55,'Base Datos'!$A$2:$S$33,8,FALSE))</f>
        <v/>
      </c>
      <c r="F55" s="49"/>
      <c r="G55" s="10"/>
      <c r="H55" s="26"/>
      <c r="I55" s="10"/>
    </row>
    <row r="56" spans="1:9" x14ac:dyDescent="0.25">
      <c r="A56" s="18"/>
      <c r="B56" s="20" t="s">
        <v>8</v>
      </c>
      <c r="C56" s="18"/>
      <c r="D56" s="18"/>
      <c r="E56" s="18"/>
      <c r="F56" s="51">
        <f>SUBTOTAL(109,Resumen4[Plan Actual])</f>
        <v>735080</v>
      </c>
      <c r="G56" s="51">
        <f>SUBTOTAL(109,Resumen4[Plan Futuro])</f>
        <v>647107</v>
      </c>
      <c r="H56" s="90">
        <f>SUBTOTAL(109,Resumen4[Hs. Futuro])</f>
        <v>1910.0025851950409</v>
      </c>
      <c r="I56" s="18"/>
    </row>
  </sheetData>
  <pageMargins left="0.7" right="0.7" top="0.75" bottom="0.75" header="0.3" footer="0.3"/>
  <ignoredErrors>
    <ignoredError sqref="G18:G24 G26:G30" calculatedColumn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11"/>
  <sheetViews>
    <sheetView zoomScale="110" zoomScaleNormal="110" workbookViewId="0">
      <selection activeCell="C12" sqref="C12"/>
    </sheetView>
  </sheetViews>
  <sheetFormatPr baseColWidth="10" defaultColWidth="11.42578125" defaultRowHeight="12" x14ac:dyDescent="0.2"/>
  <cols>
    <col min="1" max="1" width="10.140625" style="23" bestFit="1" customWidth="1"/>
    <col min="2" max="2" width="10.28515625" style="23" bestFit="1" customWidth="1"/>
    <col min="3" max="3" width="12.7109375" style="23" bestFit="1" customWidth="1"/>
    <col min="4" max="4" width="7.140625" style="23" bestFit="1" customWidth="1"/>
    <col min="5" max="5" width="10.7109375" style="23" bestFit="1" customWidth="1"/>
    <col min="6" max="6" width="28.85546875" style="23" bestFit="1" customWidth="1"/>
    <col min="7" max="7" width="6.5703125" style="23" bestFit="1" customWidth="1"/>
    <col min="8" max="8" width="10" style="23" bestFit="1" customWidth="1"/>
    <col min="9" max="9" width="6.5703125" style="23" bestFit="1" customWidth="1"/>
    <col min="10" max="10" width="4.85546875" style="23" bestFit="1" customWidth="1"/>
    <col min="11" max="11" width="6.28515625" style="23" bestFit="1" customWidth="1"/>
    <col min="12" max="12" width="8.5703125" style="23" bestFit="1" customWidth="1"/>
    <col min="13" max="13" width="9.42578125" style="23" bestFit="1" customWidth="1"/>
    <col min="14" max="14" width="6.85546875" style="23" bestFit="1" customWidth="1"/>
    <col min="15" max="15" width="9.5703125" style="23" bestFit="1" customWidth="1"/>
    <col min="16" max="16" width="10.7109375" style="23" bestFit="1" customWidth="1"/>
    <col min="17" max="17" width="8.5703125" style="23" bestFit="1" customWidth="1"/>
    <col min="18" max="19" width="7" style="23" bestFit="1" customWidth="1"/>
    <col min="20" max="16384" width="11.42578125" style="23"/>
  </cols>
  <sheetData>
    <row r="1" spans="1:29" x14ac:dyDescent="0.2">
      <c r="A1" s="46" t="s">
        <v>136</v>
      </c>
      <c r="B1" s="23" t="s">
        <v>264</v>
      </c>
      <c r="C1" s="24" t="s">
        <v>94</v>
      </c>
    </row>
    <row r="2" spans="1:29" x14ac:dyDescent="0.2">
      <c r="A2" s="37">
        <f ca="1">TODAY()</f>
        <v>45958</v>
      </c>
      <c r="B2" s="23">
        <f ca="1">WEEKNUM(A2,2)</f>
        <v>44</v>
      </c>
    </row>
    <row r="3" spans="1:29" x14ac:dyDescent="0.2">
      <c r="A3" s="36" t="s">
        <v>12</v>
      </c>
      <c r="B3" s="25" t="s">
        <v>29</v>
      </c>
      <c r="C3" s="25" t="s">
        <v>30</v>
      </c>
      <c r="D3" s="25" t="s">
        <v>31</v>
      </c>
      <c r="E3" s="25" t="s">
        <v>32</v>
      </c>
      <c r="F3" s="25" t="s">
        <v>6</v>
      </c>
      <c r="G3" s="25" t="s">
        <v>84</v>
      </c>
      <c r="H3" s="25" t="s">
        <v>103</v>
      </c>
      <c r="I3" s="25" t="s">
        <v>100</v>
      </c>
      <c r="J3" s="25" t="s">
        <v>101</v>
      </c>
      <c r="K3" s="25" t="s">
        <v>85</v>
      </c>
      <c r="L3" s="25" t="s">
        <v>96</v>
      </c>
      <c r="M3" s="25" t="s">
        <v>95</v>
      </c>
      <c r="N3" s="25" t="s">
        <v>19</v>
      </c>
      <c r="O3" s="25" t="s">
        <v>78</v>
      </c>
      <c r="P3" s="25" t="s">
        <v>20</v>
      </c>
      <c r="Q3" s="25" t="s">
        <v>21</v>
      </c>
      <c r="R3" s="25" t="s">
        <v>24</v>
      </c>
      <c r="S3" s="25" t="s">
        <v>22</v>
      </c>
      <c r="T3" s="25" t="s">
        <v>97</v>
      </c>
      <c r="U3" s="25" t="s">
        <v>102</v>
      </c>
      <c r="V3" s="25" t="s">
        <v>99</v>
      </c>
      <c r="W3" s="25" t="s">
        <v>98</v>
      </c>
      <c r="X3" s="25"/>
      <c r="Y3" s="25"/>
      <c r="Z3" s="25"/>
      <c r="AA3" s="25"/>
      <c r="AB3" s="25"/>
      <c r="AC3" s="25"/>
    </row>
    <row r="4" spans="1:29" x14ac:dyDescent="0.2">
      <c r="A4" s="37">
        <v>44836</v>
      </c>
      <c r="B4" s="31" t="s">
        <v>34</v>
      </c>
      <c r="C4" s="31" t="s">
        <v>35</v>
      </c>
      <c r="D4" s="38">
        <v>3</v>
      </c>
      <c r="E4" s="39" t="s">
        <v>18</v>
      </c>
      <c r="F4" s="33" t="str">
        <f>IF(E4="","",VLOOKUP(E4,'Base Datos'!$A$2:$M$150,2,FALSE))</f>
        <v>Mate con Dije</v>
      </c>
      <c r="G4" s="99">
        <v>45</v>
      </c>
      <c r="H4" s="102">
        <v>550</v>
      </c>
      <c r="I4" s="32"/>
      <c r="J4" s="32"/>
      <c r="K4" s="31"/>
      <c r="L4" s="39"/>
      <c r="M4" s="33">
        <f>IF(E4="","",VLOOKUP(E4,'Base Datos'!$A$2:$M$150,3,FALSE))</f>
        <v>51</v>
      </c>
      <c r="N4" s="23">
        <f>IF(E4="","",VLOOKUP(E4,'Base Datos'!$A$2:$M$150,4,FALSE))</f>
        <v>71</v>
      </c>
      <c r="O4" s="23">
        <f>IF(E4="","",VLOOKUP(E4,'Base Datos'!$A$2:$M$150,5,FALSE))</f>
        <v>51</v>
      </c>
      <c r="P4" s="23">
        <f>IF(E4="","",VLOOKUP(E4,'Base Datos'!$A$2:$M$150,6,FALSE))</f>
        <v>600</v>
      </c>
      <c r="Q4" s="23">
        <f>IF(E4="","",VLOOKUP(E4,'Base Datos'!$A$2:$M$150,7,FALSE))</f>
        <v>1</v>
      </c>
      <c r="R4" s="40">
        <f>IF(E4="","",VLOOKUP(E4,'Base Datos'!$A$2:$M$150,8,FALSE))</f>
        <v>120</v>
      </c>
      <c r="S4" s="40" t="str">
        <f>IF(E4="","",VLOOKUP(E4,'Base Datos'!$A$2:$M$150,9,FALSE))</f>
        <v>PP</v>
      </c>
      <c r="T4" s="33">
        <f>IF(E4="","",(H4*I4)-(J4+K4))</f>
        <v>0</v>
      </c>
      <c r="U4" s="33">
        <f>IF(E4="","",(I4*R4)/1000)</f>
        <v>0</v>
      </c>
      <c r="V4" s="33"/>
      <c r="W4" s="45">
        <f>IFERROR(IF(E4="","",(H4/P4)),0)</f>
        <v>0.91666666666666663</v>
      </c>
    </row>
    <row r="5" spans="1:29" x14ac:dyDescent="0.2">
      <c r="A5" s="106"/>
      <c r="B5" s="107"/>
      <c r="C5" s="108"/>
      <c r="D5" s="109"/>
      <c r="E5" s="110"/>
      <c r="F5" s="111" t="str">
        <f>IF(E5="","",VLOOKUP(E5,'Base Datos'!$A$2:$M$150,2,FALSE))</f>
        <v/>
      </c>
      <c r="G5" s="112"/>
      <c r="H5" s="113"/>
      <c r="I5" s="113"/>
      <c r="J5" s="113"/>
      <c r="K5" s="108"/>
      <c r="L5" s="110"/>
      <c r="M5" s="114" t="str">
        <f>IF(E5="","",VLOOKUP(E5,'Base Datos'!$A$2:$M$150,3,FALSE))</f>
        <v/>
      </c>
      <c r="N5" s="115" t="str">
        <f>IF(E5="","",VLOOKUP(E5,'Base Datos'!$A$2:$M$150,4,FALSE))</f>
        <v/>
      </c>
      <c r="O5" s="115" t="str">
        <f>IF(E5="","",VLOOKUP(E5,'Base Datos'!$A$2:$M$150,5,FALSE))</f>
        <v/>
      </c>
      <c r="P5" s="115" t="str">
        <f>IF(E5="","",VLOOKUP(E5,'Base Datos'!$A$2:$M$150,6,FALSE))</f>
        <v/>
      </c>
      <c r="Q5" s="115" t="str">
        <f>IF(E5="","",VLOOKUP(E5,'Base Datos'!$A$2:$M$150,7,FALSE))</f>
        <v/>
      </c>
      <c r="R5" s="116" t="str">
        <f>IF(E5="","",VLOOKUP(E5,'Base Datos'!$A$2:$M$150,8,FALSE))</f>
        <v/>
      </c>
      <c r="S5" s="116" t="str">
        <f>IF(E5="","",VLOOKUP(E5,'Base Datos'!$A$2:$M$150,9,FALSE))</f>
        <v/>
      </c>
      <c r="T5" s="114" t="str">
        <f>IF(E5="","",(H5*I5)-(J5+K5))</f>
        <v/>
      </c>
      <c r="U5" s="114" t="str">
        <f>IF(E5="","",(I5*R5)/1000)</f>
        <v/>
      </c>
      <c r="V5" s="114"/>
      <c r="W5" s="117" t="str">
        <f>IFERROR(IF(E5="","",(H5/P5)),0)</f>
        <v/>
      </c>
    </row>
    <row r="6" spans="1:29" x14ac:dyDescent="0.2">
      <c r="A6" s="92">
        <v>1</v>
      </c>
      <c r="B6" s="92" t="s">
        <v>255</v>
      </c>
    </row>
    <row r="7" spans="1:29" x14ac:dyDescent="0.2">
      <c r="A7" s="92">
        <v>2</v>
      </c>
      <c r="B7" s="92" t="s">
        <v>256</v>
      </c>
    </row>
    <row r="8" spans="1:29" x14ac:dyDescent="0.2">
      <c r="A8" s="92">
        <v>3</v>
      </c>
      <c r="B8" s="92" t="s">
        <v>257</v>
      </c>
    </row>
    <row r="10" spans="1:29" x14ac:dyDescent="0.2">
      <c r="A10" s="36" t="s">
        <v>12</v>
      </c>
      <c r="B10" s="25" t="s">
        <v>29</v>
      </c>
      <c r="C10" s="25" t="s">
        <v>30</v>
      </c>
      <c r="D10" s="25" t="s">
        <v>31</v>
      </c>
      <c r="E10" s="25" t="s">
        <v>32</v>
      </c>
      <c r="F10" s="25" t="s">
        <v>6</v>
      </c>
      <c r="G10" s="25" t="s">
        <v>84</v>
      </c>
      <c r="H10" s="25" t="s">
        <v>103</v>
      </c>
      <c r="I10" s="25" t="s">
        <v>100</v>
      </c>
      <c r="J10" s="25" t="s">
        <v>101</v>
      </c>
      <c r="K10" s="25" t="s">
        <v>85</v>
      </c>
      <c r="L10" s="25" t="s">
        <v>96</v>
      </c>
      <c r="M10" s="25" t="s">
        <v>95</v>
      </c>
      <c r="N10" s="25" t="s">
        <v>19</v>
      </c>
      <c r="O10" s="25" t="s">
        <v>78</v>
      </c>
      <c r="P10" s="25" t="s">
        <v>20</v>
      </c>
      <c r="Q10" s="25" t="s">
        <v>21</v>
      </c>
      <c r="R10" s="25" t="s">
        <v>24</v>
      </c>
      <c r="S10" s="25" t="s">
        <v>22</v>
      </c>
      <c r="T10" s="25" t="s">
        <v>97</v>
      </c>
      <c r="U10" s="25" t="s">
        <v>102</v>
      </c>
      <c r="V10" s="25" t="s">
        <v>99</v>
      </c>
      <c r="W10" s="25" t="s">
        <v>98</v>
      </c>
      <c r="X10" s="25"/>
      <c r="Y10" s="25"/>
      <c r="Z10" s="25"/>
      <c r="AA10" s="25"/>
      <c r="AB10" s="25"/>
      <c r="AC10" s="25"/>
    </row>
    <row r="11" spans="1:29" x14ac:dyDescent="0.2">
      <c r="A11" s="37">
        <v>44836</v>
      </c>
      <c r="B11" s="31" t="s">
        <v>34</v>
      </c>
      <c r="C11" s="31" t="s">
        <v>286</v>
      </c>
      <c r="D11" s="38">
        <v>3</v>
      </c>
      <c r="E11" s="39" t="s">
        <v>18</v>
      </c>
      <c r="F11" s="33" t="str">
        <f>IF(E11="","",VLOOKUP(E11,'Base Datos'!$A$2:$M$150,2,FALSE))</f>
        <v>Mate con Dije</v>
      </c>
      <c r="G11" s="99">
        <v>45</v>
      </c>
      <c r="H11" s="102">
        <v>550</v>
      </c>
      <c r="I11" s="32"/>
      <c r="J11" s="32"/>
      <c r="K11" s="31"/>
      <c r="L11" s="39"/>
      <c r="M11" s="33">
        <f>IF(E11="","",VLOOKUP(E11,'Base Datos'!$A$2:$M$150,3,FALSE))</f>
        <v>51</v>
      </c>
      <c r="N11" s="23">
        <f>IF(E11="","",VLOOKUP(E11,'Base Datos'!$A$2:$M$150,4,FALSE))</f>
        <v>71</v>
      </c>
      <c r="O11" s="23">
        <f>IF(E11="","",VLOOKUP(E11,'Base Datos'!$A$2:$M$150,5,FALSE))</f>
        <v>51</v>
      </c>
      <c r="P11" s="23">
        <f>IF(E11="","",VLOOKUP(E11,'Base Datos'!$A$2:$M$150,6,FALSE))</f>
        <v>600</v>
      </c>
      <c r="Q11" s="23">
        <f>IF(E11="","",VLOOKUP(E11,'Base Datos'!$A$2:$M$150,7,FALSE))</f>
        <v>1</v>
      </c>
      <c r="R11" s="40">
        <f>IF(E11="","",VLOOKUP(E11,'Base Datos'!$A$2:$M$150,8,FALSE))</f>
        <v>120</v>
      </c>
      <c r="S11" s="40" t="str">
        <f>IF(E11="","",VLOOKUP(E11,'Base Datos'!$A$2:$M$150,9,FALSE))</f>
        <v>PP</v>
      </c>
      <c r="T11" s="33">
        <f>IF(E11="","",(H11*I11)-(J11+K11))</f>
        <v>0</v>
      </c>
      <c r="U11" s="33">
        <f>IF(E11="","",(I11*R11)/1000)</f>
        <v>0</v>
      </c>
      <c r="V11" s="33"/>
      <c r="W11" s="45">
        <f>IFERROR(IF(E11="","",(H11/P11)),0)</f>
        <v>0.91666666666666663</v>
      </c>
    </row>
  </sheetData>
  <printOptions verticalCentered="1"/>
  <pageMargins left="0" right="0" top="0.74803149606299213" bottom="0.74803149606299213" header="0.31496062992125984" footer="0.31496062992125984"/>
  <pageSetup paperSize="11" orientation="landscape" horizontalDpi="0" verticalDpi="0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Configuracion!$B$2:$B$5</xm:f>
          </x14:formula1>
          <xm:sqref>B4:B5 B11</xm:sqref>
        </x14:dataValidation>
        <x14:dataValidation type="list" allowBlank="1" showInputMessage="1" showErrorMessage="1">
          <x14:formula1>
            <xm:f>Configuracion!$B$8:$B$16</xm:f>
          </x14:formula1>
          <xm:sqref>C4:C5</xm:sqref>
        </x14:dataValidation>
        <x14:dataValidation type="list" allowBlank="1" showInputMessage="1" showErrorMessage="1">
          <x14:formula1>
            <xm:f>Configuracion!$B$19:$B$24</xm:f>
          </x14:formula1>
          <xm:sqref>D4:D5 D11</xm:sqref>
        </x14:dataValidation>
        <x14:dataValidation type="list" allowBlank="1" showInputMessage="1" showErrorMessage="1">
          <x14:formula1>
            <xm:f>'Base Datos'!$A$3:$A$150</xm:f>
          </x14:formula1>
          <xm:sqref>E4:E5 E11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E395"/>
  <sheetViews>
    <sheetView tabSelected="1" workbookViewId="0">
      <selection activeCell="E8" sqref="E8"/>
    </sheetView>
  </sheetViews>
  <sheetFormatPr baseColWidth="10" defaultColWidth="11.42578125" defaultRowHeight="12" x14ac:dyDescent="0.2"/>
  <cols>
    <col min="1" max="1" width="11.42578125" style="40"/>
    <col min="2" max="2" width="9.5703125" style="93" bestFit="1" customWidth="1"/>
    <col min="3" max="3" width="13" style="93" bestFit="1" customWidth="1"/>
    <col min="4" max="4" width="11.7109375" style="23" bestFit="1" customWidth="1"/>
    <col min="5" max="5" width="10.28515625" style="40" bestFit="1" customWidth="1"/>
    <col min="6" max="6" width="28.85546875" style="95" bestFit="1" customWidth="1"/>
    <col min="7" max="7" width="11.140625" style="40" bestFit="1" customWidth="1"/>
    <col min="8" max="8" width="9.5703125" style="40" bestFit="1" customWidth="1"/>
    <col min="9" max="9" width="11.140625" style="40" bestFit="1" customWidth="1"/>
    <col min="10" max="10" width="9.28515625" style="40" bestFit="1" customWidth="1"/>
    <col min="11" max="11" width="9.42578125" style="40" bestFit="1" customWidth="1"/>
    <col min="12" max="12" width="10.85546875" style="40" bestFit="1" customWidth="1"/>
    <col min="13" max="13" width="12.7109375" style="40" customWidth="1"/>
    <col min="14" max="16" width="11.42578125" style="40"/>
    <col min="17" max="17" width="13.140625" style="40" bestFit="1" customWidth="1"/>
    <col min="18" max="18" width="11.85546875" style="40" bestFit="1" customWidth="1"/>
    <col min="19" max="19" width="11.5703125" style="40" bestFit="1" customWidth="1"/>
    <col min="20" max="20" width="16.42578125" style="40" bestFit="1" customWidth="1"/>
    <col min="21" max="21" width="15" style="93" bestFit="1" customWidth="1"/>
    <col min="22" max="22" width="15.140625" style="23" bestFit="1" customWidth="1"/>
    <col min="23" max="23" width="11" style="23" bestFit="1" customWidth="1"/>
    <col min="24" max="25" width="11.42578125" style="23"/>
    <col min="26" max="26" width="12.140625" style="23" bestFit="1" customWidth="1"/>
    <col min="27" max="27" width="21.28515625" style="23" customWidth="1"/>
    <col min="28" max="16384" width="11.42578125" style="23"/>
  </cols>
  <sheetData>
    <row r="1" spans="1:31" x14ac:dyDescent="0.2">
      <c r="A1" s="100" t="s">
        <v>12</v>
      </c>
      <c r="B1" s="93" t="s">
        <v>29</v>
      </c>
      <c r="C1" s="93" t="s">
        <v>30</v>
      </c>
      <c r="D1" s="25" t="s">
        <v>31</v>
      </c>
      <c r="E1" s="25" t="s">
        <v>32</v>
      </c>
      <c r="F1" s="95" t="s">
        <v>33</v>
      </c>
      <c r="G1" s="40" t="s">
        <v>84</v>
      </c>
      <c r="H1" s="40" t="s">
        <v>103</v>
      </c>
      <c r="I1" s="40" t="s">
        <v>100</v>
      </c>
      <c r="J1" s="40" t="s">
        <v>101</v>
      </c>
      <c r="K1" s="40" t="s">
        <v>85</v>
      </c>
      <c r="L1" s="40" t="s">
        <v>96</v>
      </c>
      <c r="M1" s="40" t="s">
        <v>95</v>
      </c>
      <c r="N1" s="40" t="s">
        <v>19</v>
      </c>
      <c r="O1" s="40" t="s">
        <v>78</v>
      </c>
      <c r="P1" s="40" t="s">
        <v>20</v>
      </c>
      <c r="Q1" s="40" t="s">
        <v>21</v>
      </c>
      <c r="R1" s="40" t="s">
        <v>24</v>
      </c>
      <c r="S1" s="40" t="s">
        <v>22</v>
      </c>
      <c r="T1" s="40" t="s">
        <v>10</v>
      </c>
      <c r="U1" s="93" t="s">
        <v>102</v>
      </c>
      <c r="V1" s="122" t="s">
        <v>269</v>
      </c>
      <c r="W1" s="25" t="s">
        <v>98</v>
      </c>
      <c r="X1" s="103" t="s">
        <v>258</v>
      </c>
      <c r="Y1" s="121" t="s">
        <v>268</v>
      </c>
      <c r="Z1" s="124" t="s">
        <v>272</v>
      </c>
      <c r="AA1" s="124" t="s">
        <v>273</v>
      </c>
      <c r="AB1" s="124" t="s">
        <v>275</v>
      </c>
      <c r="AC1" s="25"/>
      <c r="AD1" s="25"/>
      <c r="AE1" s="25"/>
    </row>
    <row r="2" spans="1:31" x14ac:dyDescent="0.2">
      <c r="A2" s="37">
        <v>44774</v>
      </c>
      <c r="B2" s="31" t="s">
        <v>87</v>
      </c>
      <c r="C2" s="31" t="s">
        <v>92</v>
      </c>
      <c r="D2" s="38">
        <v>1</v>
      </c>
      <c r="E2" s="39" t="s">
        <v>50</v>
      </c>
      <c r="F2" s="33" t="str">
        <f>IF(E2="","",VLOOKUP(E2,'Base Datos'!$A$2:$M$150,2,FALSE))</f>
        <v>Vertedor pico transparente</v>
      </c>
      <c r="G2" s="99">
        <v>25</v>
      </c>
      <c r="H2" s="102">
        <v>1068</v>
      </c>
      <c r="I2" s="32">
        <v>7</v>
      </c>
      <c r="J2" s="32"/>
      <c r="K2" s="31"/>
      <c r="L2" s="39">
        <v>184975</v>
      </c>
      <c r="M2" s="33">
        <f>IF(E2="","",VLOOKUP(E2,'Base Datos'!$A$2:$M$150,3,FALSE))</f>
        <v>5</v>
      </c>
      <c r="N2" s="23">
        <f>IF(E2="","",VLOOKUP(E2,'Base Datos'!$A$2:$M$150,4,FALSE))</f>
        <v>720</v>
      </c>
      <c r="O2" s="23">
        <f>IF(E2="","",VLOOKUP(E2,'Base Datos'!$A$2:$M$150,5,FALSE))</f>
        <v>40</v>
      </c>
      <c r="P2" s="23">
        <f>IF(E2="","",VLOOKUP(E2,'Base Datos'!$A$2:$M$150,6,FALSE))</f>
        <v>724</v>
      </c>
      <c r="Q2" s="23">
        <f>IF(E2="","",VLOOKUP(E2,'Base Datos'!$A$2:$M$150,7,FALSE))</f>
        <v>8</v>
      </c>
      <c r="R2" s="40">
        <f>IF(E2="","",VLOOKUP(E2,'Base Datos'!$A$2:$M$150,8,FALSE))</f>
        <v>6.2</v>
      </c>
      <c r="S2" s="40" t="str">
        <f>IF(E2="","",VLOOKUP(E2,'Base Datos'!$A$2:$M$150,9,FALSE))</f>
        <v>PP</v>
      </c>
      <c r="T2" s="33">
        <f>IF(E2="","",(H2*I2)-(J2+K2))</f>
        <v>7476</v>
      </c>
      <c r="U2" s="33">
        <f>IF(E2="","",(I2*R2)/1000)</f>
        <v>4.3400000000000001E-2</v>
      </c>
      <c r="V2" s="123">
        <f>IF(G2="",0,(G2*H2)/3600)</f>
        <v>7.416666666666667</v>
      </c>
      <c r="W2" s="45">
        <f>IFERROR(IF(E2="","",(H2/P2)),0)</f>
        <v>1.4751381215469612</v>
      </c>
      <c r="X2" s="94">
        <f>WEEKDAY(A2,1)</f>
        <v>2</v>
      </c>
      <c r="Y2" s="120">
        <f>MONTH(A2)</f>
        <v>8</v>
      </c>
      <c r="Z2" s="125">
        <f>WEEKNUM(A2)-WEEKNUM(DATE(YEAR(A2),MONTH(A2),1))+1</f>
        <v>1</v>
      </c>
      <c r="AA2" s="126">
        <f>IF(V2="",0,V2/8)</f>
        <v>0.92708333333333337</v>
      </c>
      <c r="AB2" s="125">
        <f>IF(E2="02PZ03405",0,1)</f>
        <v>1</v>
      </c>
    </row>
    <row r="3" spans="1:31" x14ac:dyDescent="0.2">
      <c r="A3" s="37">
        <v>44771</v>
      </c>
      <c r="B3" s="31" t="s">
        <v>87</v>
      </c>
      <c r="C3" s="31" t="s">
        <v>92</v>
      </c>
      <c r="D3" s="38">
        <v>1</v>
      </c>
      <c r="E3" s="39" t="s">
        <v>50</v>
      </c>
      <c r="F3" s="33" t="str">
        <f>IF(E3="","",VLOOKUP(E3,'Base Datos'!$A$2:$M$150,2,FALSE))</f>
        <v>Vertedor pico transparente</v>
      </c>
      <c r="G3" s="99">
        <v>29</v>
      </c>
      <c r="H3" s="102">
        <v>941</v>
      </c>
      <c r="I3" s="32">
        <v>1</v>
      </c>
      <c r="J3" s="32"/>
      <c r="K3" s="31"/>
      <c r="L3" s="39">
        <v>184975</v>
      </c>
      <c r="M3" s="33">
        <f>IF(E3="","",VLOOKUP(E3,'Base Datos'!$A$2:$M$150,3,FALSE))</f>
        <v>5</v>
      </c>
      <c r="N3" s="23">
        <f>IF(E3="","",VLOOKUP(E3,'Base Datos'!$A$2:$M$150,4,FALSE))</f>
        <v>720</v>
      </c>
      <c r="O3" s="23">
        <f>IF(E3="","",VLOOKUP(E3,'Base Datos'!$A$2:$M$150,5,FALSE))</f>
        <v>40</v>
      </c>
      <c r="P3" s="23">
        <f>IF(E3="","",VLOOKUP(E3,'Base Datos'!$A$2:$M$150,6,FALSE))</f>
        <v>724</v>
      </c>
      <c r="Q3" s="23">
        <f>IF(E3="","",VLOOKUP(E3,'Base Datos'!$A$2:$M$150,7,FALSE))</f>
        <v>8</v>
      </c>
      <c r="R3" s="40">
        <f>IF(E3="","",VLOOKUP(E3,'Base Datos'!$A$2:$M$150,8,FALSE))</f>
        <v>6.2</v>
      </c>
      <c r="S3" s="40" t="str">
        <f>IF(E3="","",VLOOKUP(E3,'Base Datos'!$A$2:$M$150,9,FALSE))</f>
        <v>PP</v>
      </c>
      <c r="T3" s="33">
        <f>IF(E3="","",(H3*I3)-(J3+K3))</f>
        <v>941</v>
      </c>
      <c r="U3" s="33">
        <f>IF(E3="","",(I3*R3)/1000)</f>
        <v>6.1999999999999998E-3</v>
      </c>
      <c r="V3" s="123">
        <f>IF(G3="",0,(G3*H3)/3600)</f>
        <v>7.5802777777777779</v>
      </c>
      <c r="W3" s="45">
        <f>IFERROR(IF(E3="","",(H3/P3)),0)</f>
        <v>1.2997237569060773</v>
      </c>
      <c r="X3" s="94">
        <f>WEEKDAY(A3,1)</f>
        <v>6</v>
      </c>
      <c r="Y3" s="120">
        <f>MONTH(A3)</f>
        <v>7</v>
      </c>
      <c r="Z3" s="125">
        <f>WEEKNUM(A3)-WEEKNUM(DATE(YEAR(A3),MONTH(A3),1))+1</f>
        <v>5</v>
      </c>
      <c r="AA3" s="126">
        <f>IF(V3="",0,V3/8)</f>
        <v>0.94753472222222224</v>
      </c>
      <c r="AB3" s="125">
        <f>IF(E3="02PZ03405",0,1)</f>
        <v>1</v>
      </c>
    </row>
    <row r="4" spans="1:31" x14ac:dyDescent="0.2">
      <c r="A4" s="37">
        <v>44770</v>
      </c>
      <c r="B4" s="31" t="s">
        <v>87</v>
      </c>
      <c r="C4" s="31" t="s">
        <v>92</v>
      </c>
      <c r="D4" s="38">
        <v>1</v>
      </c>
      <c r="E4" s="39" t="s">
        <v>50</v>
      </c>
      <c r="F4" s="33" t="str">
        <f>IF(E4="","",VLOOKUP(E4,'Base Datos'!$A$2:$M$150,2,FALSE))</f>
        <v>Vertedor pico transparente</v>
      </c>
      <c r="G4" s="99">
        <v>28</v>
      </c>
      <c r="H4" s="102">
        <v>820</v>
      </c>
      <c r="I4" s="32">
        <v>7</v>
      </c>
      <c r="J4" s="32"/>
      <c r="K4" s="31"/>
      <c r="L4" s="39">
        <v>184975</v>
      </c>
      <c r="M4" s="33">
        <f>IF(E4="","",VLOOKUP(E4,'Base Datos'!$A$2:$M$150,3,FALSE))</f>
        <v>5</v>
      </c>
      <c r="N4" s="23">
        <f>IF(E4="","",VLOOKUP(E4,'Base Datos'!$A$2:$M$150,4,FALSE))</f>
        <v>720</v>
      </c>
      <c r="O4" s="23">
        <f>IF(E4="","",VLOOKUP(E4,'Base Datos'!$A$2:$M$150,5,FALSE))</f>
        <v>40</v>
      </c>
      <c r="P4" s="23">
        <f>IF(E4="","",VLOOKUP(E4,'Base Datos'!$A$2:$M$150,6,FALSE))</f>
        <v>724</v>
      </c>
      <c r="Q4" s="23">
        <f>IF(E4="","",VLOOKUP(E4,'Base Datos'!$A$2:$M$150,7,FALSE))</f>
        <v>8</v>
      </c>
      <c r="R4" s="40">
        <f>IF(E4="","",VLOOKUP(E4,'Base Datos'!$A$2:$M$150,8,FALSE))</f>
        <v>6.2</v>
      </c>
      <c r="S4" s="40" t="str">
        <f>IF(E4="","",VLOOKUP(E4,'Base Datos'!$A$2:$M$150,9,FALSE))</f>
        <v>PP</v>
      </c>
      <c r="T4" s="33">
        <f>IF(E4="","",(H4*I4)-(J4+K4))</f>
        <v>5740</v>
      </c>
      <c r="U4" s="33">
        <f>IF(E4="","",(I4*R4)/1000)</f>
        <v>4.3400000000000001E-2</v>
      </c>
      <c r="V4" s="123">
        <f>IF(G4="",0,(G4*H4)/3600)</f>
        <v>6.3777777777777782</v>
      </c>
      <c r="W4" s="45">
        <f>IFERROR(IF(E4="","",(H4/P4)),0)</f>
        <v>1.132596685082873</v>
      </c>
      <c r="X4" s="94">
        <f>WEEKDAY(A4,1)</f>
        <v>5</v>
      </c>
      <c r="Y4" s="120">
        <f>MONTH(A4)</f>
        <v>7</v>
      </c>
      <c r="Z4" s="125">
        <f>WEEKNUM(A4)-WEEKNUM(DATE(YEAR(A4),MONTH(A4),1))+1</f>
        <v>5</v>
      </c>
      <c r="AA4" s="126">
        <f>IF(V4="",0,V4/8)</f>
        <v>0.79722222222222228</v>
      </c>
      <c r="AB4" s="125">
        <f>IF(E4="02PZ03405",0,1)</f>
        <v>1</v>
      </c>
    </row>
    <row r="5" spans="1:31" x14ac:dyDescent="0.2">
      <c r="A5" s="37">
        <v>44767</v>
      </c>
      <c r="B5" s="31" t="s">
        <v>87</v>
      </c>
      <c r="C5" s="31" t="s">
        <v>92</v>
      </c>
      <c r="D5" s="38">
        <v>1</v>
      </c>
      <c r="E5" s="39" t="s">
        <v>50</v>
      </c>
      <c r="F5" s="33" t="str">
        <f>IF(E5="","",VLOOKUP(E5,'Base Datos'!$A$2:$M$150,2,FALSE))</f>
        <v>Vertedor pico transparente</v>
      </c>
      <c r="G5" s="99">
        <v>32</v>
      </c>
      <c r="H5" s="102">
        <v>1011</v>
      </c>
      <c r="I5" s="32">
        <v>7</v>
      </c>
      <c r="J5" s="32">
        <v>0</v>
      </c>
      <c r="K5" s="31">
        <v>0</v>
      </c>
      <c r="L5" s="39">
        <v>184975</v>
      </c>
      <c r="M5" s="33">
        <f>IF(E5="","",VLOOKUP(E5,'Base Datos'!$A$2:$M$150,3,FALSE))</f>
        <v>5</v>
      </c>
      <c r="N5" s="23">
        <f>IF(E5="","",VLOOKUP(E5,'Base Datos'!$A$2:$M$150,4,FALSE))</f>
        <v>720</v>
      </c>
      <c r="O5" s="23">
        <f>IF(E5="","",VLOOKUP(E5,'Base Datos'!$A$2:$M$150,5,FALSE))</f>
        <v>40</v>
      </c>
      <c r="P5" s="23">
        <f>IF(E5="","",VLOOKUP(E5,'Base Datos'!$A$2:$M$150,6,FALSE))</f>
        <v>724</v>
      </c>
      <c r="Q5" s="23">
        <f>IF(E5="","",VLOOKUP(E5,'Base Datos'!$A$2:$M$150,7,FALSE))</f>
        <v>8</v>
      </c>
      <c r="R5" s="40">
        <f>IF(E5="","",VLOOKUP(E5,'Base Datos'!$A$2:$M$150,8,FALSE))</f>
        <v>6.2</v>
      </c>
      <c r="S5" s="40" t="str">
        <f>IF(E5="","",VLOOKUP(E5,'Base Datos'!$A$2:$M$150,9,FALSE))</f>
        <v>PP</v>
      </c>
      <c r="T5" s="33">
        <f>IF(E5="","",(H5*I5)-(J5+K5))</f>
        <v>7077</v>
      </c>
      <c r="U5" s="33">
        <f>IF(E5="","",(I5*R5)/1000)</f>
        <v>4.3400000000000001E-2</v>
      </c>
      <c r="V5" s="123">
        <f>IF(G5="",0,(G5*H5)/3600)</f>
        <v>8.9866666666666664</v>
      </c>
      <c r="W5" s="45">
        <f>IFERROR(IF(E5="","",(H5/P5)),0)</f>
        <v>1.3964088397790055</v>
      </c>
      <c r="X5" s="94">
        <f>WEEKDAY(A5,1)</f>
        <v>2</v>
      </c>
      <c r="Y5" s="120">
        <f>MONTH(A5)</f>
        <v>7</v>
      </c>
      <c r="Z5" s="125">
        <f>WEEKNUM(A5)-WEEKNUM(DATE(YEAR(A5),MONTH(A5),1))+1</f>
        <v>5</v>
      </c>
      <c r="AA5" s="126">
        <f>IF(V5="",0,V5/8)</f>
        <v>1.1233333333333333</v>
      </c>
      <c r="AB5" s="125">
        <f>IF(E5="02PZ03405",0,1)</f>
        <v>1</v>
      </c>
    </row>
    <row r="6" spans="1:31" x14ac:dyDescent="0.2">
      <c r="A6" s="37">
        <v>44764</v>
      </c>
      <c r="B6" s="31" t="s">
        <v>87</v>
      </c>
      <c r="C6" s="31" t="s">
        <v>92</v>
      </c>
      <c r="D6" s="38">
        <v>1</v>
      </c>
      <c r="E6" s="39" t="s">
        <v>50</v>
      </c>
      <c r="F6" s="33" t="str">
        <f>IF(E6="","",VLOOKUP(E6,'Base Datos'!$A$2:$M$150,2,FALSE))</f>
        <v>Vertedor pico transparente</v>
      </c>
      <c r="G6" s="99">
        <v>32</v>
      </c>
      <c r="H6" s="102">
        <v>940</v>
      </c>
      <c r="I6" s="32">
        <v>7</v>
      </c>
      <c r="J6" s="32"/>
      <c r="K6" s="31"/>
      <c r="L6" s="39">
        <v>184975</v>
      </c>
      <c r="M6" s="33">
        <f>IF(E6="","",VLOOKUP(E6,'Base Datos'!$A$2:$M$150,3,FALSE))</f>
        <v>5</v>
      </c>
      <c r="N6" s="23">
        <f>IF(E6="","",VLOOKUP(E6,'Base Datos'!$A$2:$M$150,4,FALSE))</f>
        <v>720</v>
      </c>
      <c r="O6" s="23">
        <f>IF(E6="","",VLOOKUP(E6,'Base Datos'!$A$2:$M$150,5,FALSE))</f>
        <v>40</v>
      </c>
      <c r="P6" s="23">
        <f>IF(E6="","",VLOOKUP(E6,'Base Datos'!$A$2:$M$150,6,FALSE))</f>
        <v>724</v>
      </c>
      <c r="Q6" s="23">
        <f>IF(E6="","",VLOOKUP(E6,'Base Datos'!$A$2:$M$150,7,FALSE))</f>
        <v>8</v>
      </c>
      <c r="R6" s="40">
        <f>IF(E6="","",VLOOKUP(E6,'Base Datos'!$A$2:$M$150,8,FALSE))</f>
        <v>6.2</v>
      </c>
      <c r="S6" s="40" t="str">
        <f>IF(E6="","",VLOOKUP(E6,'Base Datos'!$A$2:$M$150,9,FALSE))</f>
        <v>PP</v>
      </c>
      <c r="T6" s="33">
        <f>IF(E6="","",(H6*I6)-(J6+K6))</f>
        <v>6580</v>
      </c>
      <c r="U6" s="33">
        <f>IF(E6="","",(I6*R6)/1000)</f>
        <v>4.3400000000000001E-2</v>
      </c>
      <c r="V6" s="123">
        <f>IF(G6="",0,(G6*H6)/3600)</f>
        <v>8.3555555555555561</v>
      </c>
      <c r="W6" s="45">
        <f>IFERROR(IF(E6="","",(H6/P6)),0)</f>
        <v>1.298342541436464</v>
      </c>
      <c r="X6" s="94">
        <f>WEEKDAY(A6,1)</f>
        <v>6</v>
      </c>
      <c r="Y6" s="120">
        <f>MONTH(A6)</f>
        <v>7</v>
      </c>
      <c r="Z6" s="125">
        <f>WEEKNUM(A6)-WEEKNUM(DATE(YEAR(A6),MONTH(A6),1))+1</f>
        <v>4</v>
      </c>
      <c r="AA6" s="126">
        <f>IF(V6="",0,V6/8)</f>
        <v>1.0444444444444445</v>
      </c>
      <c r="AB6" s="125">
        <f>IF(E6="02PZ03405",0,1)</f>
        <v>1</v>
      </c>
    </row>
    <row r="7" spans="1:31" x14ac:dyDescent="0.2">
      <c r="A7" s="37">
        <v>44763</v>
      </c>
      <c r="B7" s="31" t="s">
        <v>87</v>
      </c>
      <c r="C7" s="31" t="s">
        <v>92</v>
      </c>
      <c r="D7" s="38">
        <v>1</v>
      </c>
      <c r="E7" s="39" t="s">
        <v>50</v>
      </c>
      <c r="F7" s="33" t="str">
        <f>IF(E7="","",VLOOKUP(E7,'Base Datos'!$A$2:$M$150,2,FALSE))</f>
        <v>Vertedor pico transparente</v>
      </c>
      <c r="G7" s="99">
        <v>32</v>
      </c>
      <c r="H7" s="102">
        <v>890</v>
      </c>
      <c r="I7" s="32">
        <v>7</v>
      </c>
      <c r="J7" s="32">
        <v>0</v>
      </c>
      <c r="K7" s="31">
        <v>0</v>
      </c>
      <c r="L7" s="39">
        <v>184706</v>
      </c>
      <c r="M7" s="33">
        <f>IF(E7="","",VLOOKUP(E7,'Base Datos'!$A$2:$M$150,3,FALSE))</f>
        <v>5</v>
      </c>
      <c r="N7" s="23">
        <f>IF(E7="","",VLOOKUP(E7,'Base Datos'!$A$2:$M$150,4,FALSE))</f>
        <v>720</v>
      </c>
      <c r="O7" s="23">
        <f>IF(E7="","",VLOOKUP(E7,'Base Datos'!$A$2:$M$150,5,FALSE))</f>
        <v>40</v>
      </c>
      <c r="P7" s="23">
        <f>IF(E7="","",VLOOKUP(E7,'Base Datos'!$A$2:$M$150,6,FALSE))</f>
        <v>724</v>
      </c>
      <c r="Q7" s="23">
        <f>IF(E7="","",VLOOKUP(E7,'Base Datos'!$A$2:$M$150,7,FALSE))</f>
        <v>8</v>
      </c>
      <c r="R7" s="40">
        <f>IF(E7="","",VLOOKUP(E7,'Base Datos'!$A$2:$M$150,8,FALSE))</f>
        <v>6.2</v>
      </c>
      <c r="S7" s="40" t="str">
        <f>IF(E7="","",VLOOKUP(E7,'Base Datos'!$A$2:$M$150,9,FALSE))</f>
        <v>PP</v>
      </c>
      <c r="T7" s="33">
        <f>IF(E7="","",(H7*I7)-(J7+K7))</f>
        <v>6230</v>
      </c>
      <c r="U7" s="33">
        <f>IF(E7="","",(I7*R7)/1000)</f>
        <v>4.3400000000000001E-2</v>
      </c>
      <c r="V7" s="123">
        <f>IF(G7="",0,(G7*H7)/3600)</f>
        <v>7.9111111111111114</v>
      </c>
      <c r="W7" s="45">
        <f>IFERROR(IF(E7="","",(H7/P7)),0)</f>
        <v>1.229281767955801</v>
      </c>
      <c r="X7" s="94">
        <f>WEEKDAY(A7,1)</f>
        <v>5</v>
      </c>
      <c r="Y7" s="120">
        <f>MONTH(A7)</f>
        <v>7</v>
      </c>
      <c r="Z7" s="125">
        <f>WEEKNUM(A7)-WEEKNUM(DATE(YEAR(A7),MONTH(A7),1))+1</f>
        <v>4</v>
      </c>
      <c r="AA7" s="126">
        <f>IF(V7="",0,V7/8)</f>
        <v>0.98888888888888893</v>
      </c>
      <c r="AB7" s="125">
        <f>IF(E7="02PZ03405",0,1)</f>
        <v>1</v>
      </c>
    </row>
    <row r="8" spans="1:31" x14ac:dyDescent="0.2">
      <c r="A8" s="37">
        <v>44760</v>
      </c>
      <c r="B8" s="31" t="s">
        <v>87</v>
      </c>
      <c r="C8" s="31" t="s">
        <v>92</v>
      </c>
      <c r="D8" s="38">
        <v>1</v>
      </c>
      <c r="E8" s="39" t="s">
        <v>50</v>
      </c>
      <c r="F8" s="33" t="str">
        <f>IF(E8="","",VLOOKUP(E8,'Base Datos'!$A$2:$M$150,2,FALSE))</f>
        <v>Vertedor pico transparente</v>
      </c>
      <c r="G8" s="99">
        <v>35</v>
      </c>
      <c r="H8" s="102">
        <v>730</v>
      </c>
      <c r="I8" s="32">
        <v>7</v>
      </c>
      <c r="J8" s="32">
        <v>0</v>
      </c>
      <c r="K8" s="31">
        <v>0</v>
      </c>
      <c r="L8" s="39">
        <v>184706</v>
      </c>
      <c r="M8" s="33">
        <f>IF(E8="","",VLOOKUP(E8,'Base Datos'!$A$2:$M$150,3,FALSE))</f>
        <v>5</v>
      </c>
      <c r="N8" s="23">
        <f>IF(E8="","",VLOOKUP(E8,'Base Datos'!$A$2:$M$150,4,FALSE))</f>
        <v>720</v>
      </c>
      <c r="O8" s="23">
        <f>IF(E8="","",VLOOKUP(E8,'Base Datos'!$A$2:$M$150,5,FALSE))</f>
        <v>40</v>
      </c>
      <c r="P8" s="23">
        <f>IF(E8="","",VLOOKUP(E8,'Base Datos'!$A$2:$M$150,6,FALSE))</f>
        <v>724</v>
      </c>
      <c r="Q8" s="23">
        <f>IF(E8="","",VLOOKUP(E8,'Base Datos'!$A$2:$M$150,7,FALSE))</f>
        <v>8</v>
      </c>
      <c r="R8" s="40">
        <f>IF(E8="","",VLOOKUP(E8,'Base Datos'!$A$2:$M$150,8,FALSE))</f>
        <v>6.2</v>
      </c>
      <c r="S8" s="40" t="str">
        <f>IF(E8="","",VLOOKUP(E8,'Base Datos'!$A$2:$M$150,9,FALSE))</f>
        <v>PP</v>
      </c>
      <c r="T8" s="33">
        <f>IF(E8="","",(H8*I8)-(J8+K8))</f>
        <v>5110</v>
      </c>
      <c r="U8" s="33">
        <f>IF(E8="","",(I8*R8)/1000)</f>
        <v>4.3400000000000001E-2</v>
      </c>
      <c r="V8" s="123">
        <f>IF(G8="",0,(G8*H8)/3600)</f>
        <v>7.0972222222222223</v>
      </c>
      <c r="W8" s="45">
        <f>IFERROR(IF(E8="","",(H8/P8)),0)</f>
        <v>1.0082872928176796</v>
      </c>
      <c r="X8" s="94">
        <f>WEEKDAY(A8,1)</f>
        <v>2</v>
      </c>
      <c r="Y8" s="120">
        <f>MONTH(A8)</f>
        <v>7</v>
      </c>
      <c r="Z8" s="125">
        <f>WEEKNUM(A8)-WEEKNUM(DATE(YEAR(A8),MONTH(A8),1))+1</f>
        <v>4</v>
      </c>
      <c r="AA8" s="126">
        <f>IF(V8="",0,V8/8)</f>
        <v>0.88715277777777779</v>
      </c>
      <c r="AB8" s="125">
        <f>IF(E8="02PZ03405",0,1)</f>
        <v>1</v>
      </c>
    </row>
    <row r="9" spans="1:31" x14ac:dyDescent="0.2">
      <c r="A9" s="37">
        <v>44757</v>
      </c>
      <c r="B9" s="119" t="s">
        <v>87</v>
      </c>
      <c r="C9" s="31" t="s">
        <v>92</v>
      </c>
      <c r="D9" s="38">
        <v>1</v>
      </c>
      <c r="E9" s="39" t="s">
        <v>50</v>
      </c>
      <c r="F9" s="33" t="str">
        <f>IF(E9="","",VLOOKUP(E9,'Base Datos'!$A$2:$M$150,2,FALSE))</f>
        <v>Vertedor pico transparente</v>
      </c>
      <c r="G9" s="99">
        <v>35</v>
      </c>
      <c r="H9" s="102">
        <v>800</v>
      </c>
      <c r="I9" s="32">
        <v>1</v>
      </c>
      <c r="J9" s="32"/>
      <c r="K9" s="31"/>
      <c r="L9" s="39">
        <v>184706</v>
      </c>
      <c r="M9" s="33">
        <f>IF(E9="","",VLOOKUP(E9,'Base Datos'!$A$2:$M$150,3,FALSE))</f>
        <v>5</v>
      </c>
      <c r="N9" s="23">
        <f>IF(E9="","",VLOOKUP(E9,'Base Datos'!$A$2:$M$150,4,FALSE))</f>
        <v>720</v>
      </c>
      <c r="O9" s="23">
        <f>IF(E9="","",VLOOKUP(E9,'Base Datos'!$A$2:$M$150,5,FALSE))</f>
        <v>40</v>
      </c>
      <c r="P9" s="23">
        <f>IF(E9="","",VLOOKUP(E9,'Base Datos'!$A$2:$M$150,6,FALSE))</f>
        <v>724</v>
      </c>
      <c r="Q9" s="23">
        <f>IF(E9="","",VLOOKUP(E9,'Base Datos'!$A$2:$M$150,7,FALSE))</f>
        <v>8</v>
      </c>
      <c r="R9" s="40">
        <f>IF(E9="","",VLOOKUP(E9,'Base Datos'!$A$2:$M$150,8,FALSE))</f>
        <v>6.2</v>
      </c>
      <c r="S9" s="40" t="str">
        <f>IF(E9="","",VLOOKUP(E9,'Base Datos'!$A$2:$M$150,9,FALSE))</f>
        <v>PP</v>
      </c>
      <c r="T9" s="33">
        <f>IF(E9="","",(H9*I9)-(J9+K9))</f>
        <v>800</v>
      </c>
      <c r="U9" s="33">
        <f>IF(E9="","",(I9*R9)/1000)</f>
        <v>6.1999999999999998E-3</v>
      </c>
      <c r="V9" s="123">
        <f>IF(G9="",0,(G9*H9)/3600)</f>
        <v>7.7777777777777777</v>
      </c>
      <c r="W9" s="45">
        <f>IFERROR(IF(E9="","",(H9/P9)),0)</f>
        <v>1.1049723756906078</v>
      </c>
      <c r="X9" s="94">
        <f>WEEKDAY(A9,1)</f>
        <v>6</v>
      </c>
      <c r="Y9" s="120">
        <f>MONTH(A9)</f>
        <v>7</v>
      </c>
      <c r="Z9" s="125">
        <f>WEEKNUM(A9)-WEEKNUM(DATE(YEAR(A9),MONTH(A9),1))+1</f>
        <v>3</v>
      </c>
      <c r="AA9" s="126">
        <f>IF(V9="",0,V9/8)</f>
        <v>0.97222222222222221</v>
      </c>
      <c r="AB9" s="125">
        <f>IF(E9="02PZ03405",0,1)</f>
        <v>1</v>
      </c>
    </row>
    <row r="10" spans="1:31" x14ac:dyDescent="0.2">
      <c r="A10" s="37">
        <v>44764</v>
      </c>
      <c r="B10" s="31" t="s">
        <v>34</v>
      </c>
      <c r="C10" s="31" t="s">
        <v>89</v>
      </c>
      <c r="D10" s="38">
        <v>1</v>
      </c>
      <c r="E10" s="39" t="s">
        <v>50</v>
      </c>
      <c r="F10" s="33" t="str">
        <f>IF(E10="","",VLOOKUP(E10,'Base Datos'!$A$2:$M$150,2,FALSE))</f>
        <v>Vertedor pico transparente</v>
      </c>
      <c r="G10" s="99">
        <v>32.700000000000003</v>
      </c>
      <c r="H10" s="102">
        <v>855</v>
      </c>
      <c r="I10" s="32">
        <v>7</v>
      </c>
      <c r="J10" s="32"/>
      <c r="K10" s="31"/>
      <c r="L10" s="39">
        <v>184706</v>
      </c>
      <c r="M10" s="33">
        <f>IF(E10="","",VLOOKUP(E10,'Base Datos'!$A$2:$M$150,3,FALSE))</f>
        <v>5</v>
      </c>
      <c r="N10" s="23">
        <f>IF(E10="","",VLOOKUP(E10,'Base Datos'!$A$2:$M$150,4,FALSE))</f>
        <v>720</v>
      </c>
      <c r="O10" s="23">
        <f>IF(E10="","",VLOOKUP(E10,'Base Datos'!$A$2:$M$150,5,FALSE))</f>
        <v>40</v>
      </c>
      <c r="P10" s="23">
        <f>IF(E10="","",VLOOKUP(E10,'Base Datos'!$A$2:$M$150,6,FALSE))</f>
        <v>724</v>
      </c>
      <c r="Q10" s="23">
        <f>IF(E10="","",VLOOKUP(E10,'Base Datos'!$A$2:$M$150,7,FALSE))</f>
        <v>8</v>
      </c>
      <c r="R10" s="40">
        <f>IF(E10="","",VLOOKUP(E10,'Base Datos'!$A$2:$M$150,8,FALSE))</f>
        <v>6.2</v>
      </c>
      <c r="S10" s="40" t="str">
        <f>IF(E10="","",VLOOKUP(E10,'Base Datos'!$A$2:$M$150,9,FALSE))</f>
        <v>PP</v>
      </c>
      <c r="T10" s="33">
        <f>IF(E10="","",(H10*I10)-(J10+K10))</f>
        <v>5985</v>
      </c>
      <c r="U10" s="33">
        <f>IF(E10="","",(I10*R10)/1000)</f>
        <v>4.3400000000000001E-2</v>
      </c>
      <c r="V10" s="123">
        <f>IF(G10="",0,(G10*H10)/3600)</f>
        <v>7.7662500000000012</v>
      </c>
      <c r="W10" s="45">
        <f>IFERROR(IF(E10="","",(H10/P10)),0)</f>
        <v>1.180939226519337</v>
      </c>
      <c r="X10" s="94">
        <f>WEEKDAY(A10,1)</f>
        <v>6</v>
      </c>
      <c r="Y10" s="120">
        <f>MONTH(A10)</f>
        <v>7</v>
      </c>
      <c r="Z10" s="125">
        <f>WEEKNUM(A10)-WEEKNUM(DATE(YEAR(A10),MONTH(A10),1))+1</f>
        <v>4</v>
      </c>
      <c r="AA10" s="126">
        <f>IF(V10="",0,V10/8)</f>
        <v>0.97078125000000015</v>
      </c>
      <c r="AB10" s="125">
        <f>IF(E10="02PZ03405",0,1)</f>
        <v>1</v>
      </c>
    </row>
    <row r="11" spans="1:31" x14ac:dyDescent="0.2">
      <c r="A11" s="37">
        <v>44763</v>
      </c>
      <c r="B11" s="31" t="s">
        <v>34</v>
      </c>
      <c r="C11" s="31" t="s">
        <v>89</v>
      </c>
      <c r="D11" s="38">
        <v>1</v>
      </c>
      <c r="E11" s="39" t="s">
        <v>50</v>
      </c>
      <c r="F11" s="33" t="str">
        <f>IF(E11="","",VLOOKUP(E11,'Base Datos'!$A$2:$M$150,2,FALSE))</f>
        <v>Vertedor pico transparente</v>
      </c>
      <c r="G11" s="99">
        <v>32.6</v>
      </c>
      <c r="H11" s="102">
        <v>911</v>
      </c>
      <c r="I11" s="32">
        <v>7</v>
      </c>
      <c r="J11" s="32"/>
      <c r="K11" s="31"/>
      <c r="L11" s="39">
        <v>184706</v>
      </c>
      <c r="M11" s="33">
        <f>IF(E11="","",VLOOKUP(E11,'Base Datos'!$A$2:$M$150,3,FALSE))</f>
        <v>5</v>
      </c>
      <c r="N11" s="23">
        <f>IF(E11="","",VLOOKUP(E11,'Base Datos'!$A$2:$M$150,4,FALSE))</f>
        <v>720</v>
      </c>
      <c r="O11" s="23">
        <f>IF(E11="","",VLOOKUP(E11,'Base Datos'!$A$2:$M$150,5,FALSE))</f>
        <v>40</v>
      </c>
      <c r="P11" s="23">
        <f>IF(E11="","",VLOOKUP(E11,'Base Datos'!$A$2:$M$150,6,FALSE))</f>
        <v>724</v>
      </c>
      <c r="Q11" s="23">
        <f>IF(E11="","",VLOOKUP(E11,'Base Datos'!$A$2:$M$150,7,FALSE))</f>
        <v>8</v>
      </c>
      <c r="R11" s="40">
        <f>IF(E11="","",VLOOKUP(E11,'Base Datos'!$A$2:$M$150,8,FALSE))</f>
        <v>6.2</v>
      </c>
      <c r="S11" s="40" t="str">
        <f>IF(E11="","",VLOOKUP(E11,'Base Datos'!$A$2:$M$150,9,FALSE))</f>
        <v>PP</v>
      </c>
      <c r="T11" s="33">
        <f>IF(E11="","",(H11*I11)-(J11+K11))</f>
        <v>6377</v>
      </c>
      <c r="U11" s="33">
        <f>IF(E11="","",(I11*R11)/1000)</f>
        <v>4.3400000000000001E-2</v>
      </c>
      <c r="V11" s="123">
        <f>IF(G11="",0,(G11*H11)/3600)</f>
        <v>8.2496111111111112</v>
      </c>
      <c r="W11" s="45">
        <f>IFERROR(IF(E11="","",(H11/P11)),0)</f>
        <v>1.2582872928176796</v>
      </c>
      <c r="X11" s="94">
        <f>WEEKDAY(A11,1)</f>
        <v>5</v>
      </c>
      <c r="Y11" s="120">
        <f>MONTH(A11)</f>
        <v>7</v>
      </c>
      <c r="Z11" s="125">
        <f>WEEKNUM(A11)-WEEKNUM(DATE(YEAR(A11),MONTH(A11),1))+1</f>
        <v>4</v>
      </c>
      <c r="AA11" s="126">
        <f>IF(V11="",0,V11/8)</f>
        <v>1.0312013888888889</v>
      </c>
      <c r="AB11" s="125">
        <f>IF(E11="02PZ03405",0,1)</f>
        <v>1</v>
      </c>
    </row>
    <row r="12" spans="1:31" x14ac:dyDescent="0.2">
      <c r="A12" s="37">
        <v>44760</v>
      </c>
      <c r="B12" s="31" t="s">
        <v>34</v>
      </c>
      <c r="C12" s="31" t="s">
        <v>89</v>
      </c>
      <c r="D12" s="38">
        <v>1</v>
      </c>
      <c r="E12" s="39" t="s">
        <v>50</v>
      </c>
      <c r="F12" s="33" t="str">
        <f>IF(E12="","",VLOOKUP(E12,'Base Datos'!$A$2:$M$150,2,FALSE))</f>
        <v>Vertedor pico transparente</v>
      </c>
      <c r="G12" s="99">
        <v>40</v>
      </c>
      <c r="H12" s="102">
        <v>658</v>
      </c>
      <c r="I12" s="32">
        <v>7</v>
      </c>
      <c r="J12" s="32">
        <v>0</v>
      </c>
      <c r="K12" s="31">
        <v>0</v>
      </c>
      <c r="L12" s="39">
        <v>184706</v>
      </c>
      <c r="M12" s="33">
        <f>IF(E12="","",VLOOKUP(E12,'Base Datos'!$A$2:$M$150,3,FALSE))</f>
        <v>5</v>
      </c>
      <c r="N12" s="23">
        <f>IF(E12="","",VLOOKUP(E12,'Base Datos'!$A$2:$M$150,4,FALSE))</f>
        <v>720</v>
      </c>
      <c r="O12" s="23">
        <f>IF(E12="","",VLOOKUP(E12,'Base Datos'!$A$2:$M$150,5,FALSE))</f>
        <v>40</v>
      </c>
      <c r="P12" s="23">
        <f>IF(E12="","",VLOOKUP(E12,'Base Datos'!$A$2:$M$150,6,FALSE))</f>
        <v>724</v>
      </c>
      <c r="Q12" s="23">
        <f>IF(E12="","",VLOOKUP(E12,'Base Datos'!$A$2:$M$150,7,FALSE))</f>
        <v>8</v>
      </c>
      <c r="R12" s="40">
        <f>IF(E12="","",VLOOKUP(E12,'Base Datos'!$A$2:$M$150,8,FALSE))</f>
        <v>6.2</v>
      </c>
      <c r="S12" s="40" t="str">
        <f>IF(E12="","",VLOOKUP(E12,'Base Datos'!$A$2:$M$150,9,FALSE))</f>
        <v>PP</v>
      </c>
      <c r="T12" s="33">
        <f>IF(E12="","",(H12*I12)-(J12+K12))</f>
        <v>4606</v>
      </c>
      <c r="U12" s="33">
        <f>IF(E12="","",(I12*R12)/1000)</f>
        <v>4.3400000000000001E-2</v>
      </c>
      <c r="V12" s="123">
        <f>IF(G12="",0,(G12*H12)/3600)</f>
        <v>7.3111111111111109</v>
      </c>
      <c r="W12" s="45">
        <f>IFERROR(IF(E12="","",(H12/P12)),0)</f>
        <v>0.90883977900552482</v>
      </c>
      <c r="X12" s="94">
        <f>WEEKDAY(A12,1)</f>
        <v>2</v>
      </c>
      <c r="Y12" s="120">
        <f>MONTH(A12)</f>
        <v>7</v>
      </c>
      <c r="Z12" s="125">
        <f>WEEKNUM(A12)-WEEKNUM(DATE(YEAR(A12),MONTH(A12),1))+1</f>
        <v>4</v>
      </c>
      <c r="AA12" s="126">
        <f>IF(V12="",0,V12/8)</f>
        <v>0.91388888888888886</v>
      </c>
      <c r="AB12" s="125">
        <f>IF(E12="02PZ03405",0,1)</f>
        <v>1</v>
      </c>
    </row>
    <row r="13" spans="1:31" x14ac:dyDescent="0.2">
      <c r="A13" s="37">
        <v>44767</v>
      </c>
      <c r="B13" s="31" t="s">
        <v>34</v>
      </c>
      <c r="C13" s="31" t="s">
        <v>35</v>
      </c>
      <c r="D13" s="38">
        <v>1</v>
      </c>
      <c r="E13" s="39" t="s">
        <v>50</v>
      </c>
      <c r="F13" s="33" t="str">
        <f>IF(E13="","",VLOOKUP(E13,'Base Datos'!$A$2:$M$150,2,FALSE))</f>
        <v>Vertedor pico transparente</v>
      </c>
      <c r="G13" s="99">
        <v>32</v>
      </c>
      <c r="H13" s="102">
        <v>930</v>
      </c>
      <c r="I13" s="32">
        <v>7</v>
      </c>
      <c r="J13" s="32"/>
      <c r="K13" s="31"/>
      <c r="L13" s="39">
        <v>184975</v>
      </c>
      <c r="M13" s="33">
        <f>IF(E13="","",VLOOKUP(E13,'Base Datos'!$A$2:$M$150,3,FALSE))</f>
        <v>5</v>
      </c>
      <c r="N13" s="23">
        <f>IF(E13="","",VLOOKUP(E13,'Base Datos'!$A$2:$M$150,4,FALSE))</f>
        <v>720</v>
      </c>
      <c r="O13" s="23">
        <f>IF(E13="","",VLOOKUP(E13,'Base Datos'!$A$2:$M$150,5,FALSE))</f>
        <v>40</v>
      </c>
      <c r="P13" s="23">
        <f>IF(E13="","",VLOOKUP(E13,'Base Datos'!$A$2:$M$150,6,FALSE))</f>
        <v>724</v>
      </c>
      <c r="Q13" s="23">
        <f>IF(E13="","",VLOOKUP(E13,'Base Datos'!$A$2:$M$150,7,FALSE))</f>
        <v>8</v>
      </c>
      <c r="R13" s="40">
        <f>IF(E13="","",VLOOKUP(E13,'Base Datos'!$A$2:$M$150,8,FALSE))</f>
        <v>6.2</v>
      </c>
      <c r="S13" s="40" t="str">
        <f>IF(E13="","",VLOOKUP(E13,'Base Datos'!$A$2:$M$150,9,FALSE))</f>
        <v>PP</v>
      </c>
      <c r="T13" s="33">
        <f>IF(E13="","",(H13*I13)-(J13+K13))</f>
        <v>6510</v>
      </c>
      <c r="U13" s="33">
        <f>IF(E13="","",(I13*R13)/1000)</f>
        <v>4.3400000000000001E-2</v>
      </c>
      <c r="V13" s="123">
        <f>IF(G13="",0,(G13*H13)/3600)</f>
        <v>8.2666666666666675</v>
      </c>
      <c r="W13" s="45">
        <f>IFERROR(IF(E13="","",(H13/P13)),0)</f>
        <v>1.2845303867403315</v>
      </c>
      <c r="X13" s="94">
        <f>WEEKDAY(A13,1)</f>
        <v>2</v>
      </c>
      <c r="Y13" s="120">
        <f>MONTH(A13)</f>
        <v>7</v>
      </c>
      <c r="Z13" s="125">
        <f>WEEKNUM(A13)-WEEKNUM(DATE(YEAR(A13),MONTH(A13),1))+1</f>
        <v>5</v>
      </c>
      <c r="AA13" s="126">
        <f>IF(V13="",0,V13/8)</f>
        <v>1.0333333333333334</v>
      </c>
      <c r="AB13" s="125">
        <f>IF(E13="02PZ03405",0,1)</f>
        <v>1</v>
      </c>
    </row>
    <row r="14" spans="1:31" x14ac:dyDescent="0.2">
      <c r="A14" s="37">
        <v>44762</v>
      </c>
      <c r="B14" s="31" t="s">
        <v>34</v>
      </c>
      <c r="C14" s="31" t="s">
        <v>35</v>
      </c>
      <c r="D14" s="38">
        <v>1</v>
      </c>
      <c r="E14" s="39" t="s">
        <v>50</v>
      </c>
      <c r="F14" s="33" t="str">
        <f>IF(E14="","",VLOOKUP(E14,'Base Datos'!$A$2:$M$150,2,FALSE))</f>
        <v>Vertedor pico transparente</v>
      </c>
      <c r="G14" s="99">
        <v>31</v>
      </c>
      <c r="H14" s="102">
        <v>951</v>
      </c>
      <c r="I14" s="32">
        <v>7</v>
      </c>
      <c r="J14" s="32"/>
      <c r="K14" s="31"/>
      <c r="L14" s="39">
        <v>184706</v>
      </c>
      <c r="M14" s="33">
        <f>IF(E14="","",VLOOKUP(E14,'Base Datos'!$A$2:$M$150,3,FALSE))</f>
        <v>5</v>
      </c>
      <c r="N14" s="23">
        <f>IF(E14="","",VLOOKUP(E14,'Base Datos'!$A$2:$M$150,4,FALSE))</f>
        <v>720</v>
      </c>
      <c r="O14" s="23">
        <f>IF(E14="","",VLOOKUP(E14,'Base Datos'!$A$2:$M$150,5,FALSE))</f>
        <v>40</v>
      </c>
      <c r="P14" s="23">
        <f>IF(E14="","",VLOOKUP(E14,'Base Datos'!$A$2:$M$150,6,FALSE))</f>
        <v>724</v>
      </c>
      <c r="Q14" s="23">
        <f>IF(E14="","",VLOOKUP(E14,'Base Datos'!$A$2:$M$150,7,FALSE))</f>
        <v>8</v>
      </c>
      <c r="R14" s="40">
        <f>IF(E14="","",VLOOKUP(E14,'Base Datos'!$A$2:$M$150,8,FALSE))</f>
        <v>6.2</v>
      </c>
      <c r="S14" s="40" t="str">
        <f>IF(E14="","",VLOOKUP(E14,'Base Datos'!$A$2:$M$150,9,FALSE))</f>
        <v>PP</v>
      </c>
      <c r="T14" s="33">
        <f>IF(E14="","",(H14*I14)-(J14+K14))</f>
        <v>6657</v>
      </c>
      <c r="U14" s="33">
        <f>IF(E14="","",(I14*R14)/1000)</f>
        <v>4.3400000000000001E-2</v>
      </c>
      <c r="V14" s="123">
        <f>IF(G14="",0,(G14*H14)/3600)</f>
        <v>8.1891666666666669</v>
      </c>
      <c r="W14" s="45">
        <f>IFERROR(IF(E14="","",(H14/P14)),0)</f>
        <v>1.3135359116022098</v>
      </c>
      <c r="X14" s="94">
        <f>WEEKDAY(A14,1)</f>
        <v>4</v>
      </c>
      <c r="Y14" s="120">
        <f>MONTH(A14)</f>
        <v>7</v>
      </c>
      <c r="Z14" s="125">
        <f>WEEKNUM(A14)-WEEKNUM(DATE(YEAR(A14),MONTH(A14),1))+1</f>
        <v>4</v>
      </c>
      <c r="AA14" s="126">
        <f>IF(V14="",0,V14/8)</f>
        <v>1.0236458333333334</v>
      </c>
      <c r="AB14" s="125">
        <f>IF(E14="02PZ03405",0,1)</f>
        <v>1</v>
      </c>
    </row>
    <row r="15" spans="1:31" x14ac:dyDescent="0.2">
      <c r="A15" s="37">
        <v>44761</v>
      </c>
      <c r="B15" s="31" t="s">
        <v>34</v>
      </c>
      <c r="C15" s="31" t="s">
        <v>35</v>
      </c>
      <c r="D15" s="38">
        <v>1</v>
      </c>
      <c r="E15" s="39" t="s">
        <v>50</v>
      </c>
      <c r="F15" s="33" t="str">
        <f>IF(E15="","",VLOOKUP(E15,'Base Datos'!$A$2:$M$150,2,FALSE))</f>
        <v>Vertedor pico transparente</v>
      </c>
      <c r="G15" s="99">
        <v>35</v>
      </c>
      <c r="H15" s="102">
        <v>732</v>
      </c>
      <c r="I15" s="32">
        <v>7</v>
      </c>
      <c r="J15" s="32"/>
      <c r="K15" s="31"/>
      <c r="L15" s="39">
        <v>184706</v>
      </c>
      <c r="M15" s="33">
        <f>IF(E15="","",VLOOKUP(E15,'Base Datos'!$A$2:$M$150,3,FALSE))</f>
        <v>5</v>
      </c>
      <c r="N15" s="23">
        <f>IF(E15="","",VLOOKUP(E15,'Base Datos'!$A$2:$M$150,4,FALSE))</f>
        <v>720</v>
      </c>
      <c r="O15" s="23">
        <f>IF(E15="","",VLOOKUP(E15,'Base Datos'!$A$2:$M$150,5,FALSE))</f>
        <v>40</v>
      </c>
      <c r="P15" s="23">
        <f>IF(E15="","",VLOOKUP(E15,'Base Datos'!$A$2:$M$150,6,FALSE))</f>
        <v>724</v>
      </c>
      <c r="Q15" s="23">
        <f>IF(E15="","",VLOOKUP(E15,'Base Datos'!$A$2:$M$150,7,FALSE))</f>
        <v>8</v>
      </c>
      <c r="R15" s="40">
        <f>IF(E15="","",VLOOKUP(E15,'Base Datos'!$A$2:$M$150,8,FALSE))</f>
        <v>6.2</v>
      </c>
      <c r="S15" s="40" t="str">
        <f>IF(E15="","",VLOOKUP(E15,'Base Datos'!$A$2:$M$150,9,FALSE))</f>
        <v>PP</v>
      </c>
      <c r="T15" s="33">
        <f>IF(E15="","",(H15*I15)-(J15+K15))</f>
        <v>5124</v>
      </c>
      <c r="U15" s="33">
        <f>IF(E15="","",(I15*R15)/1000)</f>
        <v>4.3400000000000001E-2</v>
      </c>
      <c r="V15" s="123">
        <f>IF(G15="",0,(G15*H15)/3600)</f>
        <v>7.1166666666666663</v>
      </c>
      <c r="W15" s="45">
        <f>IFERROR(IF(E15="","",(H15/P15)),0)</f>
        <v>1.011049723756906</v>
      </c>
      <c r="X15" s="94">
        <f>WEEKDAY(A15,1)</f>
        <v>3</v>
      </c>
      <c r="Y15" s="120">
        <f>MONTH(A15)</f>
        <v>7</v>
      </c>
      <c r="Z15" s="125">
        <f>WEEKNUM(A15)-WEEKNUM(DATE(YEAR(A15),MONTH(A15),1))+1</f>
        <v>4</v>
      </c>
      <c r="AA15" s="126">
        <f>IF(V15="",0,V15/8)</f>
        <v>0.88958333333333328</v>
      </c>
      <c r="AB15" s="125">
        <f>IF(E15="02PZ03405",0,1)</f>
        <v>1</v>
      </c>
    </row>
    <row r="16" spans="1:31" x14ac:dyDescent="0.2">
      <c r="A16" s="37">
        <v>44774</v>
      </c>
      <c r="B16" s="31" t="s">
        <v>86</v>
      </c>
      <c r="C16" s="31" t="s">
        <v>91</v>
      </c>
      <c r="D16" s="38">
        <v>1</v>
      </c>
      <c r="E16" s="39" t="s">
        <v>50</v>
      </c>
      <c r="F16" s="33" t="str">
        <f>IF(E16="","",VLOOKUP(E16,'Base Datos'!$A$2:$M$150,2,FALSE))</f>
        <v>Vertedor pico transparente</v>
      </c>
      <c r="G16" s="99">
        <v>25.9</v>
      </c>
      <c r="H16" s="102">
        <v>1088</v>
      </c>
      <c r="I16" s="32">
        <v>1</v>
      </c>
      <c r="J16" s="32">
        <v>0</v>
      </c>
      <c r="K16" s="31">
        <v>0</v>
      </c>
      <c r="L16" s="39">
        <v>184975</v>
      </c>
      <c r="M16" s="33">
        <f>IF(E16="","",VLOOKUP(E16,'Base Datos'!$A$2:$M$150,3,FALSE))</f>
        <v>5</v>
      </c>
      <c r="N16" s="23">
        <f>IF(E16="","",VLOOKUP(E16,'Base Datos'!$A$2:$M$150,4,FALSE))</f>
        <v>720</v>
      </c>
      <c r="O16" s="23">
        <f>IF(E16="","",VLOOKUP(E16,'Base Datos'!$A$2:$M$150,5,FALSE))</f>
        <v>40</v>
      </c>
      <c r="P16" s="23">
        <f>IF(E16="","",VLOOKUP(E16,'Base Datos'!$A$2:$M$150,6,FALSE))</f>
        <v>724</v>
      </c>
      <c r="Q16" s="23">
        <f>IF(E16="","",VLOOKUP(E16,'Base Datos'!$A$2:$M$150,7,FALSE))</f>
        <v>8</v>
      </c>
      <c r="R16" s="40">
        <f>IF(E16="","",VLOOKUP(E16,'Base Datos'!$A$2:$M$150,8,FALSE))</f>
        <v>6.2</v>
      </c>
      <c r="S16" s="40" t="str">
        <f>IF(E16="","",VLOOKUP(E16,'Base Datos'!$A$2:$M$150,9,FALSE))</f>
        <v>PP</v>
      </c>
      <c r="T16" s="33">
        <f>IF(E16="","",(H16*I16)-(J16+K16))</f>
        <v>1088</v>
      </c>
      <c r="U16" s="33">
        <f>IF(E16="","",(I16*R16)/1000)</f>
        <v>6.1999999999999998E-3</v>
      </c>
      <c r="V16" s="123">
        <f>IF(G16="",0,(G16*H16)/3600)</f>
        <v>7.8275555555555547</v>
      </c>
      <c r="W16" s="45">
        <f>IFERROR(IF(E16="","",(H16/P16)),0)</f>
        <v>1.5027624309392265</v>
      </c>
      <c r="X16" s="94">
        <f>WEEKDAY(A16,1)</f>
        <v>2</v>
      </c>
      <c r="Y16" s="120">
        <f>MONTH(A16)</f>
        <v>8</v>
      </c>
      <c r="Z16" s="125">
        <f>WEEKNUM(A16)-WEEKNUM(DATE(YEAR(A16),MONTH(A16),1))+1</f>
        <v>1</v>
      </c>
      <c r="AA16" s="126">
        <f>IF(V16="",0,V16/8)</f>
        <v>0.97844444444444434</v>
      </c>
      <c r="AB16" s="125">
        <f>IF(E16="02PZ03405",0,1)</f>
        <v>1</v>
      </c>
    </row>
    <row r="17" spans="1:28" x14ac:dyDescent="0.2">
      <c r="A17" s="37">
        <v>44757</v>
      </c>
      <c r="B17" s="31" t="s">
        <v>86</v>
      </c>
      <c r="C17" s="31" t="s">
        <v>91</v>
      </c>
      <c r="D17" s="38">
        <v>1</v>
      </c>
      <c r="E17" s="39" t="s">
        <v>50</v>
      </c>
      <c r="F17" s="33" t="str">
        <f>IF(E17="","",VLOOKUP(E17,'Base Datos'!$A$2:$M$150,2,FALSE))</f>
        <v>Vertedor pico transparente</v>
      </c>
      <c r="G17" s="99">
        <v>40</v>
      </c>
      <c r="H17" s="102">
        <v>600</v>
      </c>
      <c r="I17" s="32">
        <v>1</v>
      </c>
      <c r="J17" s="32">
        <v>0</v>
      </c>
      <c r="K17" s="31">
        <v>0</v>
      </c>
      <c r="L17" s="39">
        <v>184706</v>
      </c>
      <c r="M17" s="33">
        <f>IF(E17="","",VLOOKUP(E17,'Base Datos'!$A$2:$M$150,3,FALSE))</f>
        <v>5</v>
      </c>
      <c r="N17" s="23">
        <f>IF(E17="","",VLOOKUP(E17,'Base Datos'!$A$2:$M$150,4,FALSE))</f>
        <v>720</v>
      </c>
      <c r="O17" s="23">
        <f>IF(E17="","",VLOOKUP(E17,'Base Datos'!$A$2:$M$150,5,FALSE))</f>
        <v>40</v>
      </c>
      <c r="P17" s="23">
        <f>IF(E17="","",VLOOKUP(E17,'Base Datos'!$A$2:$M$150,6,FALSE))</f>
        <v>724</v>
      </c>
      <c r="Q17" s="23">
        <f>IF(E17="","",VLOOKUP(E17,'Base Datos'!$A$2:$M$150,7,FALSE))</f>
        <v>8</v>
      </c>
      <c r="R17" s="40">
        <f>IF(E17="","",VLOOKUP(E17,'Base Datos'!$A$2:$M$150,8,FALSE))</f>
        <v>6.2</v>
      </c>
      <c r="S17" s="40" t="str">
        <f>IF(E17="","",VLOOKUP(E17,'Base Datos'!$A$2:$M$150,9,FALSE))</f>
        <v>PP</v>
      </c>
      <c r="T17" s="33">
        <f>IF(E17="","",(H17*I17)-(J17+K17))</f>
        <v>600</v>
      </c>
      <c r="U17" s="33">
        <f>IF(E17="","",(I17*R17)/1000)</f>
        <v>6.1999999999999998E-3</v>
      </c>
      <c r="V17" s="123">
        <f>IF(G17="",0,(G17*H17)/3600)</f>
        <v>6.666666666666667</v>
      </c>
      <c r="W17" s="45">
        <f>IFERROR(IF(E17="","",(H17/P17)),0)</f>
        <v>0.82872928176795579</v>
      </c>
      <c r="X17" s="94">
        <f>WEEKDAY(A17,1)</f>
        <v>6</v>
      </c>
      <c r="Y17" s="120">
        <f>MONTH(A17)</f>
        <v>7</v>
      </c>
      <c r="Z17" s="125">
        <f>WEEKNUM(A17)-WEEKNUM(DATE(YEAR(A17),MONTH(A17),1))+1</f>
        <v>3</v>
      </c>
      <c r="AA17" s="126">
        <f>IF(V17="",0,V17/8)</f>
        <v>0.83333333333333337</v>
      </c>
      <c r="AB17" s="125">
        <f>IF(E17="02PZ03405",0,1)</f>
        <v>1</v>
      </c>
    </row>
    <row r="18" spans="1:28" x14ac:dyDescent="0.2">
      <c r="A18" s="37">
        <v>44770</v>
      </c>
      <c r="B18" s="31" t="s">
        <v>86</v>
      </c>
      <c r="C18" s="31" t="s">
        <v>90</v>
      </c>
      <c r="D18" s="38">
        <v>1</v>
      </c>
      <c r="E18" s="39" t="s">
        <v>50</v>
      </c>
      <c r="F18" s="33" t="str">
        <f>IF(E18="","",VLOOKUP(E18,'Base Datos'!$A$2:$M$150,2,FALSE))</f>
        <v>Vertedor pico transparente</v>
      </c>
      <c r="G18" s="99">
        <v>36</v>
      </c>
      <c r="H18" s="102">
        <v>550</v>
      </c>
      <c r="I18" s="32">
        <v>7</v>
      </c>
      <c r="J18" s="32"/>
      <c r="K18" s="31"/>
      <c r="L18" s="39">
        <v>184975</v>
      </c>
      <c r="M18" s="33">
        <f>IF(E18="","",VLOOKUP(E18,'Base Datos'!$A$2:$M$150,3,FALSE))</f>
        <v>5</v>
      </c>
      <c r="N18" s="23">
        <f>IF(E18="","",VLOOKUP(E18,'Base Datos'!$A$2:$M$150,4,FALSE))</f>
        <v>720</v>
      </c>
      <c r="O18" s="23">
        <f>IF(E18="","",VLOOKUP(E18,'Base Datos'!$A$2:$M$150,5,FALSE))</f>
        <v>40</v>
      </c>
      <c r="P18" s="23">
        <f>IF(E18="","",VLOOKUP(E18,'Base Datos'!$A$2:$M$150,6,FALSE))</f>
        <v>724</v>
      </c>
      <c r="Q18" s="23">
        <f>IF(E18="","",VLOOKUP(E18,'Base Datos'!$A$2:$M$150,7,FALSE))</f>
        <v>8</v>
      </c>
      <c r="R18" s="40">
        <f>IF(E18="","",VLOOKUP(E18,'Base Datos'!$A$2:$M$150,8,FALSE))</f>
        <v>6.2</v>
      </c>
      <c r="S18" s="40" t="str">
        <f>IF(E18="","",VLOOKUP(E18,'Base Datos'!$A$2:$M$150,9,FALSE))</f>
        <v>PP</v>
      </c>
      <c r="T18" s="33">
        <f>IF(E18="","",(H18*I18)-(J18+K18))</f>
        <v>3850</v>
      </c>
      <c r="U18" s="33">
        <f>IF(E18="","",(I18*R18)/1000)</f>
        <v>4.3400000000000001E-2</v>
      </c>
      <c r="V18" s="123">
        <f>IF(G18="",0,(G18*H18)/3600)</f>
        <v>5.5</v>
      </c>
      <c r="W18" s="45">
        <f>IFERROR(IF(E18="","",(H18/P18)),0)</f>
        <v>0.75966850828729282</v>
      </c>
      <c r="X18" s="94">
        <f>WEEKDAY(A18,1)</f>
        <v>5</v>
      </c>
      <c r="Y18" s="120">
        <f>MONTH(A18)</f>
        <v>7</v>
      </c>
      <c r="Z18" s="125">
        <f>WEEKNUM(A18)-WEEKNUM(DATE(YEAR(A18),MONTH(A18),1))+1</f>
        <v>5</v>
      </c>
      <c r="AA18" s="126">
        <f>IF(V18="",0,V18/8)</f>
        <v>0.6875</v>
      </c>
      <c r="AB18" s="125">
        <f>IF(E18="02PZ03405",0,1)</f>
        <v>1</v>
      </c>
    </row>
    <row r="19" spans="1:28" x14ac:dyDescent="0.2">
      <c r="A19" s="37">
        <v>44763</v>
      </c>
      <c r="B19" s="31" t="s">
        <v>86</v>
      </c>
      <c r="C19" s="31" t="s">
        <v>90</v>
      </c>
      <c r="D19" s="38">
        <v>1</v>
      </c>
      <c r="E19" s="39" t="s">
        <v>50</v>
      </c>
      <c r="F19" s="33" t="str">
        <f>IF(E19="","",VLOOKUP(E19,'Base Datos'!$A$2:$M$150,2,FALSE))</f>
        <v>Vertedor pico transparente</v>
      </c>
      <c r="G19" s="99">
        <v>32.6</v>
      </c>
      <c r="H19" s="102">
        <v>406</v>
      </c>
      <c r="I19" s="32">
        <v>7</v>
      </c>
      <c r="J19" s="32"/>
      <c r="K19" s="31"/>
      <c r="L19" s="39">
        <v>184706</v>
      </c>
      <c r="M19" s="33">
        <f>IF(E19="","",VLOOKUP(E19,'Base Datos'!$A$2:$M$150,3,FALSE))</f>
        <v>5</v>
      </c>
      <c r="N19" s="23">
        <f>IF(E19="","",VLOOKUP(E19,'Base Datos'!$A$2:$M$150,4,FALSE))</f>
        <v>720</v>
      </c>
      <c r="O19" s="23">
        <f>IF(E19="","",VLOOKUP(E19,'Base Datos'!$A$2:$M$150,5,FALSE))</f>
        <v>40</v>
      </c>
      <c r="P19" s="23">
        <f>IF(E19="","",VLOOKUP(E19,'Base Datos'!$A$2:$M$150,6,FALSE))</f>
        <v>724</v>
      </c>
      <c r="Q19" s="23">
        <f>IF(E19="","",VLOOKUP(E19,'Base Datos'!$A$2:$M$150,7,FALSE))</f>
        <v>8</v>
      </c>
      <c r="R19" s="40">
        <f>IF(E19="","",VLOOKUP(E19,'Base Datos'!$A$2:$M$150,8,FALSE))</f>
        <v>6.2</v>
      </c>
      <c r="S19" s="40" t="str">
        <f>IF(E19="","",VLOOKUP(E19,'Base Datos'!$A$2:$M$150,9,FALSE))</f>
        <v>PP</v>
      </c>
      <c r="T19" s="33">
        <f>IF(E19="","",(H19*I19)-(J19+K19))</f>
        <v>2842</v>
      </c>
      <c r="U19" s="33">
        <f>IF(E19="","",(I19*R19)/1000)</f>
        <v>4.3400000000000001E-2</v>
      </c>
      <c r="V19" s="123">
        <f>IF(G19="",0,(G19*H19)/3600)</f>
        <v>3.6765555555555558</v>
      </c>
      <c r="W19" s="45">
        <f>IFERROR(IF(E19="","",(H19/P19)),0)</f>
        <v>0.56077348066298338</v>
      </c>
      <c r="X19" s="94">
        <f>WEEKDAY(A19,1)</f>
        <v>5</v>
      </c>
      <c r="Y19" s="120">
        <f>MONTH(A19)</f>
        <v>7</v>
      </c>
      <c r="Z19" s="125">
        <f>WEEKNUM(A19)-WEEKNUM(DATE(YEAR(A19),MONTH(A19),1))+1</f>
        <v>4</v>
      </c>
      <c r="AA19" s="126">
        <f>IF(V19="",0,V19/8)</f>
        <v>0.45956944444444447</v>
      </c>
      <c r="AB19" s="125">
        <f>IF(E19="02PZ03405",0,1)</f>
        <v>1</v>
      </c>
    </row>
    <row r="20" spans="1:28" x14ac:dyDescent="0.2">
      <c r="A20" s="37">
        <v>44761</v>
      </c>
      <c r="B20" s="31" t="s">
        <v>34</v>
      </c>
      <c r="C20" s="31" t="s">
        <v>90</v>
      </c>
      <c r="D20" s="38">
        <v>1</v>
      </c>
      <c r="E20" s="39" t="s">
        <v>50</v>
      </c>
      <c r="F20" s="33" t="str">
        <f>IF(E20="","",VLOOKUP(E20,'Base Datos'!$A$2:$M$150,2,FALSE))</f>
        <v>Vertedor pico transparente</v>
      </c>
      <c r="G20" s="99">
        <v>35.4</v>
      </c>
      <c r="H20" s="102">
        <v>608</v>
      </c>
      <c r="I20" s="32">
        <v>7</v>
      </c>
      <c r="J20" s="32"/>
      <c r="K20" s="31"/>
      <c r="L20" s="39">
        <v>184706</v>
      </c>
      <c r="M20" s="33">
        <f>IF(E20="","",VLOOKUP(E20,'Base Datos'!$A$2:$M$150,3,FALSE))</f>
        <v>5</v>
      </c>
      <c r="N20" s="23">
        <f>IF(E20="","",VLOOKUP(E20,'Base Datos'!$A$2:$M$150,4,FALSE))</f>
        <v>720</v>
      </c>
      <c r="O20" s="23">
        <f>IF(E20="","",VLOOKUP(E20,'Base Datos'!$A$2:$M$150,5,FALSE))</f>
        <v>40</v>
      </c>
      <c r="P20" s="23">
        <f>IF(E20="","",VLOOKUP(E20,'Base Datos'!$A$2:$M$150,6,FALSE))</f>
        <v>724</v>
      </c>
      <c r="Q20" s="23">
        <f>IF(E20="","",VLOOKUP(E20,'Base Datos'!$A$2:$M$150,7,FALSE))</f>
        <v>8</v>
      </c>
      <c r="R20" s="40">
        <f>IF(E20="","",VLOOKUP(E20,'Base Datos'!$A$2:$M$150,8,FALSE))</f>
        <v>6.2</v>
      </c>
      <c r="S20" s="40" t="str">
        <f>IF(E20="","",VLOOKUP(E20,'Base Datos'!$A$2:$M$150,9,FALSE))</f>
        <v>PP</v>
      </c>
      <c r="T20" s="33">
        <f>IF(E20="","",(H20*I20)-(J20+K20))</f>
        <v>4256</v>
      </c>
      <c r="U20" s="33">
        <f>IF(E20="","",(I20*R20)/1000)</f>
        <v>4.3400000000000001E-2</v>
      </c>
      <c r="V20" s="123">
        <f>IF(G20="",0,(G20*H20)/3600)</f>
        <v>5.9786666666666672</v>
      </c>
      <c r="W20" s="45">
        <f>IFERROR(IF(E20="","",(H20/P20)),0)</f>
        <v>0.83977900552486184</v>
      </c>
      <c r="X20" s="94">
        <f>WEEKDAY(A20,1)</f>
        <v>3</v>
      </c>
      <c r="Y20" s="120">
        <f>MONTH(A20)</f>
        <v>7</v>
      </c>
      <c r="Z20" s="125">
        <f>WEEKNUM(A20)-WEEKNUM(DATE(YEAR(A20),MONTH(A20),1))+1</f>
        <v>4</v>
      </c>
      <c r="AA20" s="126">
        <f>IF(V20="",0,V20/8)</f>
        <v>0.7473333333333334</v>
      </c>
      <c r="AB20" s="125">
        <f>IF(E20="02PZ03405",0,1)</f>
        <v>1</v>
      </c>
    </row>
    <row r="21" spans="1:28" x14ac:dyDescent="0.2">
      <c r="A21" s="37">
        <v>44760</v>
      </c>
      <c r="B21" s="31" t="s">
        <v>86</v>
      </c>
      <c r="C21" s="31" t="s">
        <v>90</v>
      </c>
      <c r="D21" s="38">
        <v>1</v>
      </c>
      <c r="E21" s="39" t="s">
        <v>50</v>
      </c>
      <c r="F21" s="33" t="str">
        <f>IF(E21="","",VLOOKUP(E21,'Base Datos'!$A$2:$M$150,2,FALSE))</f>
        <v>Vertedor pico transparente</v>
      </c>
      <c r="G21" s="99">
        <v>80</v>
      </c>
      <c r="H21" s="102">
        <v>345</v>
      </c>
      <c r="I21" s="32">
        <v>7</v>
      </c>
      <c r="J21" s="32"/>
      <c r="K21" s="31">
        <v>200</v>
      </c>
      <c r="L21" s="39">
        <v>184706</v>
      </c>
      <c r="M21" s="33">
        <f>IF(E21="","",VLOOKUP(E21,'Base Datos'!$A$2:$M$150,3,FALSE))</f>
        <v>5</v>
      </c>
      <c r="N21" s="23">
        <f>IF(E21="","",VLOOKUP(E21,'Base Datos'!$A$2:$M$150,4,FALSE))</f>
        <v>720</v>
      </c>
      <c r="O21" s="23">
        <f>IF(E21="","",VLOOKUP(E21,'Base Datos'!$A$2:$M$150,5,FALSE))</f>
        <v>40</v>
      </c>
      <c r="P21" s="23">
        <f>IF(E21="","",VLOOKUP(E21,'Base Datos'!$A$2:$M$150,6,FALSE))</f>
        <v>724</v>
      </c>
      <c r="Q21" s="23">
        <f>IF(E21="","",VLOOKUP(E21,'Base Datos'!$A$2:$M$150,7,FALSE))</f>
        <v>8</v>
      </c>
      <c r="R21" s="40">
        <f>IF(E21="","",VLOOKUP(E21,'Base Datos'!$A$2:$M$150,8,FALSE))</f>
        <v>6.2</v>
      </c>
      <c r="S21" s="40" t="str">
        <f>IF(E21="","",VLOOKUP(E21,'Base Datos'!$A$2:$M$150,9,FALSE))</f>
        <v>PP</v>
      </c>
      <c r="T21" s="33">
        <f>IF(E21="","",(H21*I21)-(J21+K21))</f>
        <v>2215</v>
      </c>
      <c r="U21" s="33">
        <f>IF(E21="","",(I21*R21)/1000)</f>
        <v>4.3400000000000001E-2</v>
      </c>
      <c r="V21" s="123">
        <f>IF(G21="",0,(G21*H21)/3600)</f>
        <v>7.666666666666667</v>
      </c>
      <c r="W21" s="45">
        <f>IFERROR(IF(E21="","",(H21/P21)),0)</f>
        <v>0.47651933701657456</v>
      </c>
      <c r="X21" s="94">
        <f>WEEKDAY(A21,1)</f>
        <v>2</v>
      </c>
      <c r="Y21" s="120">
        <f>MONTH(A21)</f>
        <v>7</v>
      </c>
      <c r="Z21" s="125">
        <f>WEEKNUM(A21)-WEEKNUM(DATE(YEAR(A21),MONTH(A21),1))+1</f>
        <v>4</v>
      </c>
      <c r="AA21" s="126">
        <f>IF(V21="",0,V21/8)</f>
        <v>0.95833333333333337</v>
      </c>
      <c r="AB21" s="125">
        <f>IF(E21="02PZ03405",0,1)</f>
        <v>1</v>
      </c>
    </row>
    <row r="22" spans="1:28" x14ac:dyDescent="0.2">
      <c r="A22" s="37">
        <v>44771</v>
      </c>
      <c r="B22" s="31" t="s">
        <v>86</v>
      </c>
      <c r="C22" s="31" t="s">
        <v>88</v>
      </c>
      <c r="D22" s="38">
        <v>1</v>
      </c>
      <c r="E22" s="39" t="s">
        <v>50</v>
      </c>
      <c r="F22" s="33" t="str">
        <f>IF(E22="","",VLOOKUP(E22,'Base Datos'!$A$2:$M$150,2,FALSE))</f>
        <v>Vertedor pico transparente</v>
      </c>
      <c r="G22" s="99">
        <v>36</v>
      </c>
      <c r="H22" s="102">
        <v>154</v>
      </c>
      <c r="I22" s="32">
        <v>7</v>
      </c>
      <c r="J22" s="32"/>
      <c r="K22" s="31"/>
      <c r="L22" s="39">
        <v>184975</v>
      </c>
      <c r="M22" s="33">
        <f>IF(E22="","",VLOOKUP(E22,'Base Datos'!$A$2:$M$150,3,FALSE))</f>
        <v>5</v>
      </c>
      <c r="N22" s="23">
        <f>IF(E22="","",VLOOKUP(E22,'Base Datos'!$A$2:$M$150,4,FALSE))</f>
        <v>720</v>
      </c>
      <c r="O22" s="23">
        <f>IF(E22="","",VLOOKUP(E22,'Base Datos'!$A$2:$M$150,5,FALSE))</f>
        <v>40</v>
      </c>
      <c r="P22" s="23">
        <f>IF(E22="","",VLOOKUP(E22,'Base Datos'!$A$2:$M$150,6,FALSE))</f>
        <v>724</v>
      </c>
      <c r="Q22" s="23">
        <f>IF(E22="","",VLOOKUP(E22,'Base Datos'!$A$2:$M$150,7,FALSE))</f>
        <v>8</v>
      </c>
      <c r="R22" s="40">
        <f>IF(E22="","",VLOOKUP(E22,'Base Datos'!$A$2:$M$150,8,FALSE))</f>
        <v>6.2</v>
      </c>
      <c r="S22" s="40" t="str">
        <f>IF(E22="","",VLOOKUP(E22,'Base Datos'!$A$2:$M$150,9,FALSE))</f>
        <v>PP</v>
      </c>
      <c r="T22" s="33">
        <f>IF(E22="","",(H22*I22)-(J22+K22))</f>
        <v>1078</v>
      </c>
      <c r="U22" s="33">
        <f>IF(E22="","",(I22*R22)/1000)</f>
        <v>4.3400000000000001E-2</v>
      </c>
      <c r="V22" s="123">
        <f>IF(G22="",0,(G22*H22)/3600)</f>
        <v>1.54</v>
      </c>
      <c r="W22" s="45">
        <f>IFERROR(IF(E22="","",(H22/P22)),0)</f>
        <v>0.212707182320442</v>
      </c>
      <c r="X22" s="94">
        <f>WEEKDAY(A22,1)</f>
        <v>6</v>
      </c>
      <c r="Y22" s="120">
        <f>MONTH(A22)</f>
        <v>7</v>
      </c>
      <c r="Z22" s="125">
        <f>WEEKNUM(A22)-WEEKNUM(DATE(YEAR(A22),MONTH(A22),1))+1</f>
        <v>5</v>
      </c>
      <c r="AA22" s="126">
        <f>IF(V22="",0,V22/8)</f>
        <v>0.1925</v>
      </c>
      <c r="AB22" s="125">
        <f>IF(E22="02PZ03405",0,1)</f>
        <v>1</v>
      </c>
    </row>
    <row r="23" spans="1:28" x14ac:dyDescent="0.2">
      <c r="A23" s="37">
        <v>44771</v>
      </c>
      <c r="B23" s="31" t="s">
        <v>34</v>
      </c>
      <c r="C23" s="31" t="s">
        <v>88</v>
      </c>
      <c r="D23" s="38">
        <v>1</v>
      </c>
      <c r="E23" s="39" t="s">
        <v>50</v>
      </c>
      <c r="F23" s="33" t="str">
        <f>IF(E23="","",VLOOKUP(E23,'Base Datos'!$A$2:$M$150,2,FALSE))</f>
        <v>Vertedor pico transparente</v>
      </c>
      <c r="G23" s="99">
        <v>36</v>
      </c>
      <c r="H23" s="102">
        <v>770</v>
      </c>
      <c r="I23" s="32">
        <v>7</v>
      </c>
      <c r="J23" s="32"/>
      <c r="K23" s="31"/>
      <c r="L23" s="39">
        <v>184975</v>
      </c>
      <c r="M23" s="33">
        <f>IF(E23="","",VLOOKUP(E23,'Base Datos'!$A$2:$M$150,3,FALSE))</f>
        <v>5</v>
      </c>
      <c r="N23" s="23">
        <f>IF(E23="","",VLOOKUP(E23,'Base Datos'!$A$2:$M$150,4,FALSE))</f>
        <v>720</v>
      </c>
      <c r="O23" s="23">
        <f>IF(E23="","",VLOOKUP(E23,'Base Datos'!$A$2:$M$150,5,FALSE))</f>
        <v>40</v>
      </c>
      <c r="P23" s="23">
        <f>IF(E23="","",VLOOKUP(E23,'Base Datos'!$A$2:$M$150,6,FALSE))</f>
        <v>724</v>
      </c>
      <c r="Q23" s="23">
        <f>IF(E23="","",VLOOKUP(E23,'Base Datos'!$A$2:$M$150,7,FALSE))</f>
        <v>8</v>
      </c>
      <c r="R23" s="40">
        <f>IF(E23="","",VLOOKUP(E23,'Base Datos'!$A$2:$M$150,8,FALSE))</f>
        <v>6.2</v>
      </c>
      <c r="S23" s="40" t="str">
        <f>IF(E23="","",VLOOKUP(E23,'Base Datos'!$A$2:$M$150,9,FALSE))</f>
        <v>PP</v>
      </c>
      <c r="T23" s="33">
        <f>IF(E23="","",(H23*I23)-(J23+K23))</f>
        <v>5390</v>
      </c>
      <c r="U23" s="33">
        <f>IF(E23="","",(I23*R23)/1000)</f>
        <v>4.3400000000000001E-2</v>
      </c>
      <c r="V23" s="123">
        <f>IF(G23="",0,(G23*H23)/3600)</f>
        <v>7.7</v>
      </c>
      <c r="W23" s="45">
        <f>IFERROR(IF(E23="","",(H23/P23)),0)</f>
        <v>1.0635359116022098</v>
      </c>
      <c r="X23" s="94">
        <f>WEEKDAY(A23,1)</f>
        <v>6</v>
      </c>
      <c r="Y23" s="120">
        <f>MONTH(A23)</f>
        <v>7</v>
      </c>
      <c r="Z23" s="125">
        <f>WEEKNUM(A23)-WEEKNUM(DATE(YEAR(A23),MONTH(A23),1))+1</f>
        <v>5</v>
      </c>
      <c r="AA23" s="126">
        <f>IF(V23="",0,V23/8)</f>
        <v>0.96250000000000002</v>
      </c>
      <c r="AB23" s="125">
        <f>IF(E23="02PZ03405",0,1)</f>
        <v>1</v>
      </c>
    </row>
    <row r="24" spans="1:28" x14ac:dyDescent="0.2">
      <c r="A24" s="37">
        <v>44770</v>
      </c>
      <c r="B24" s="31" t="s">
        <v>34</v>
      </c>
      <c r="C24" s="31" t="s">
        <v>88</v>
      </c>
      <c r="D24" s="38">
        <v>1</v>
      </c>
      <c r="E24" s="39" t="s">
        <v>50</v>
      </c>
      <c r="F24" s="33" t="str">
        <f>IF(E24="","",VLOOKUP(E24,'Base Datos'!$A$2:$M$150,2,FALSE))</f>
        <v>Vertedor pico transparente</v>
      </c>
      <c r="G24" s="99">
        <v>36</v>
      </c>
      <c r="H24" s="102">
        <v>884</v>
      </c>
      <c r="I24" s="32">
        <v>7</v>
      </c>
      <c r="J24" s="32"/>
      <c r="K24" s="31"/>
      <c r="L24" s="39">
        <v>184975</v>
      </c>
      <c r="M24" s="33">
        <f>IF(E24="","",VLOOKUP(E24,'Base Datos'!$A$2:$M$150,3,FALSE))</f>
        <v>5</v>
      </c>
      <c r="N24" s="23">
        <f>IF(E24="","",VLOOKUP(E24,'Base Datos'!$A$2:$M$150,4,FALSE))</f>
        <v>720</v>
      </c>
      <c r="O24" s="23">
        <f>IF(E24="","",VLOOKUP(E24,'Base Datos'!$A$2:$M$150,5,FALSE))</f>
        <v>40</v>
      </c>
      <c r="P24" s="23">
        <f>IF(E24="","",VLOOKUP(E24,'Base Datos'!$A$2:$M$150,6,FALSE))</f>
        <v>724</v>
      </c>
      <c r="Q24" s="23">
        <f>IF(E24="","",VLOOKUP(E24,'Base Datos'!$A$2:$M$150,7,FALSE))</f>
        <v>8</v>
      </c>
      <c r="R24" s="40">
        <f>IF(E24="","",VLOOKUP(E24,'Base Datos'!$A$2:$M$150,8,FALSE))</f>
        <v>6.2</v>
      </c>
      <c r="S24" s="40" t="str">
        <f>IF(E24="","",VLOOKUP(E24,'Base Datos'!$A$2:$M$150,9,FALSE))</f>
        <v>PP</v>
      </c>
      <c r="T24" s="33">
        <f>IF(E24="","",(H24*I24)-(J24+K24))</f>
        <v>6188</v>
      </c>
      <c r="U24" s="33">
        <f>IF(E24="","",(I24*R24)/1000)</f>
        <v>4.3400000000000001E-2</v>
      </c>
      <c r="V24" s="123">
        <f>IF(G24="",0,(G24*H24)/3600)</f>
        <v>8.84</v>
      </c>
      <c r="W24" s="45">
        <f>IFERROR(IF(E24="","",(H24/P24)),0)</f>
        <v>1.2209944751381216</v>
      </c>
      <c r="X24" s="94">
        <f>WEEKDAY(A24,1)</f>
        <v>5</v>
      </c>
      <c r="Y24" s="120">
        <f>MONTH(A24)</f>
        <v>7</v>
      </c>
      <c r="Z24" s="125">
        <f>WEEKNUM(A24)-WEEKNUM(DATE(YEAR(A24),MONTH(A24),1))+1</f>
        <v>5</v>
      </c>
      <c r="AA24" s="126">
        <f>IF(V24="",0,V24/8)</f>
        <v>1.105</v>
      </c>
      <c r="AB24" s="125">
        <f>IF(E24="02PZ03405",0,1)</f>
        <v>1</v>
      </c>
    </row>
    <row r="25" spans="1:28" x14ac:dyDescent="0.2">
      <c r="A25" s="37">
        <v>44768</v>
      </c>
      <c r="B25" s="31" t="s">
        <v>34</v>
      </c>
      <c r="C25" s="31" t="s">
        <v>88</v>
      </c>
      <c r="D25" s="38">
        <v>1</v>
      </c>
      <c r="E25" s="39" t="s">
        <v>50</v>
      </c>
      <c r="F25" s="33" t="str">
        <f>IF(E25="","",VLOOKUP(E25,'Base Datos'!$A$2:$M$150,2,FALSE))</f>
        <v>Vertedor pico transparente</v>
      </c>
      <c r="G25" s="99">
        <v>33</v>
      </c>
      <c r="H25" s="102">
        <v>936</v>
      </c>
      <c r="I25" s="32">
        <v>7</v>
      </c>
      <c r="J25" s="32"/>
      <c r="K25" s="31"/>
      <c r="L25" s="39">
        <v>184965</v>
      </c>
      <c r="M25" s="33">
        <f>IF(E25="","",VLOOKUP(E25,'Base Datos'!$A$2:$M$150,3,FALSE))</f>
        <v>5</v>
      </c>
      <c r="N25" s="23">
        <f>IF(E25="","",VLOOKUP(E25,'Base Datos'!$A$2:$M$150,4,FALSE))</f>
        <v>720</v>
      </c>
      <c r="O25" s="23">
        <f>IF(E25="","",VLOOKUP(E25,'Base Datos'!$A$2:$M$150,5,FALSE))</f>
        <v>40</v>
      </c>
      <c r="P25" s="23">
        <f>IF(E25="","",VLOOKUP(E25,'Base Datos'!$A$2:$M$150,6,FALSE))</f>
        <v>724</v>
      </c>
      <c r="Q25" s="23">
        <f>IF(E25="","",VLOOKUP(E25,'Base Datos'!$A$2:$M$150,7,FALSE))</f>
        <v>8</v>
      </c>
      <c r="R25" s="40">
        <f>IF(E25="","",VLOOKUP(E25,'Base Datos'!$A$2:$M$150,8,FALSE))</f>
        <v>6.2</v>
      </c>
      <c r="S25" s="40" t="str">
        <f>IF(E25="","",VLOOKUP(E25,'Base Datos'!$A$2:$M$150,9,FALSE))</f>
        <v>PP</v>
      </c>
      <c r="T25" s="33">
        <f>IF(E25="","",(H25*I25)-(J25+K25))</f>
        <v>6552</v>
      </c>
      <c r="U25" s="33">
        <f>IF(E25="","",(I25*R25)/1000)</f>
        <v>4.3400000000000001E-2</v>
      </c>
      <c r="V25" s="123">
        <f>IF(G25="",0,(G25*H25)/3600)</f>
        <v>8.58</v>
      </c>
      <c r="W25" s="45">
        <f>IFERROR(IF(E25="","",(H25/P25)),0)</f>
        <v>1.2928176795580111</v>
      </c>
      <c r="X25" s="94">
        <f>WEEKDAY(A25,1)</f>
        <v>3</v>
      </c>
      <c r="Y25" s="120">
        <f>MONTH(A25)</f>
        <v>7</v>
      </c>
      <c r="Z25" s="125">
        <f>WEEKNUM(A25)-WEEKNUM(DATE(YEAR(A25),MONTH(A25),1))+1</f>
        <v>5</v>
      </c>
      <c r="AA25" s="126">
        <f>IF(V25="",0,V25/8)</f>
        <v>1.0725</v>
      </c>
      <c r="AB25" s="125">
        <f>IF(E25="02PZ03405",0,1)</f>
        <v>1</v>
      </c>
    </row>
    <row r="26" spans="1:28" x14ac:dyDescent="0.2">
      <c r="A26" s="37">
        <v>44767</v>
      </c>
      <c r="B26" s="31" t="s">
        <v>86</v>
      </c>
      <c r="C26" s="31" t="s">
        <v>88</v>
      </c>
      <c r="D26" s="38">
        <v>1</v>
      </c>
      <c r="E26" s="39" t="s">
        <v>50</v>
      </c>
      <c r="F26" s="33" t="str">
        <f>IF(E26="","",VLOOKUP(E26,'Base Datos'!$A$2:$M$150,2,FALSE))</f>
        <v>Vertedor pico transparente</v>
      </c>
      <c r="G26" s="99">
        <v>32.5</v>
      </c>
      <c r="H26" s="102">
        <v>547</v>
      </c>
      <c r="I26" s="32">
        <v>7</v>
      </c>
      <c r="J26" s="32"/>
      <c r="K26" s="31"/>
      <c r="L26" s="39">
        <v>184975</v>
      </c>
      <c r="M26" s="33">
        <f>IF(E26="","",VLOOKUP(E26,'Base Datos'!$A$2:$M$150,3,FALSE))</f>
        <v>5</v>
      </c>
      <c r="N26" s="23">
        <f>IF(E26="","",VLOOKUP(E26,'Base Datos'!$A$2:$M$150,4,FALSE))</f>
        <v>720</v>
      </c>
      <c r="O26" s="23">
        <f>IF(E26="","",VLOOKUP(E26,'Base Datos'!$A$2:$M$150,5,FALSE))</f>
        <v>40</v>
      </c>
      <c r="P26" s="23">
        <f>IF(E26="","",VLOOKUP(E26,'Base Datos'!$A$2:$M$150,6,FALSE))</f>
        <v>724</v>
      </c>
      <c r="Q26" s="23">
        <f>IF(E26="","",VLOOKUP(E26,'Base Datos'!$A$2:$M$150,7,FALSE))</f>
        <v>8</v>
      </c>
      <c r="R26" s="40">
        <f>IF(E26="","",VLOOKUP(E26,'Base Datos'!$A$2:$M$150,8,FALSE))</f>
        <v>6.2</v>
      </c>
      <c r="S26" s="40" t="str">
        <f>IF(E26="","",VLOOKUP(E26,'Base Datos'!$A$2:$M$150,9,FALSE))</f>
        <v>PP</v>
      </c>
      <c r="T26" s="33">
        <f>IF(E26="","",(H26*I26)-(J26+K26))</f>
        <v>3829</v>
      </c>
      <c r="U26" s="33">
        <f>IF(E26="","",(I26*R26)/1000)</f>
        <v>4.3400000000000001E-2</v>
      </c>
      <c r="V26" s="123">
        <f>IF(G26="",0,(G26*H26)/3600)</f>
        <v>4.9381944444444441</v>
      </c>
      <c r="W26" s="45">
        <f>IFERROR(IF(E26="","",(H26/P26)),0)</f>
        <v>0.75552486187845302</v>
      </c>
      <c r="X26" s="94">
        <f>WEEKDAY(A26,1)</f>
        <v>2</v>
      </c>
      <c r="Y26" s="120">
        <f>MONTH(A26)</f>
        <v>7</v>
      </c>
      <c r="Z26" s="125">
        <f>WEEKNUM(A26)-WEEKNUM(DATE(YEAR(A26),MONTH(A26),1))+1</f>
        <v>5</v>
      </c>
      <c r="AA26" s="126">
        <f>IF(V26="",0,V26/8)</f>
        <v>0.61727430555555551</v>
      </c>
      <c r="AB26" s="125">
        <f>IF(E26="02PZ03405",0,1)</f>
        <v>1</v>
      </c>
    </row>
    <row r="27" spans="1:28" x14ac:dyDescent="0.2">
      <c r="A27" s="37">
        <v>44762</v>
      </c>
      <c r="B27" s="31" t="s">
        <v>87</v>
      </c>
      <c r="C27" s="31" t="s">
        <v>93</v>
      </c>
      <c r="D27" s="38">
        <v>1</v>
      </c>
      <c r="E27" s="39" t="s">
        <v>50</v>
      </c>
      <c r="F27" s="33" t="str">
        <f>IF(E27="","",VLOOKUP(E27,'Base Datos'!$A$2:$M$150,2,FALSE))</f>
        <v>Vertedor pico transparente</v>
      </c>
      <c r="G27" s="99">
        <v>22</v>
      </c>
      <c r="H27" s="102">
        <v>1260</v>
      </c>
      <c r="I27" s="32">
        <v>7</v>
      </c>
      <c r="J27" s="32"/>
      <c r="K27" s="31"/>
      <c r="L27" s="39">
        <v>184706</v>
      </c>
      <c r="M27" s="33">
        <f>IF(E27="","",VLOOKUP(E27,'Base Datos'!$A$2:$M$150,3,FALSE))</f>
        <v>5</v>
      </c>
      <c r="N27" s="23">
        <f>IF(E27="","",VLOOKUP(E27,'Base Datos'!$A$2:$M$150,4,FALSE))</f>
        <v>720</v>
      </c>
      <c r="O27" s="23">
        <f>IF(E27="","",VLOOKUP(E27,'Base Datos'!$A$2:$M$150,5,FALSE))</f>
        <v>40</v>
      </c>
      <c r="P27" s="23">
        <f>IF(E27="","",VLOOKUP(E27,'Base Datos'!$A$2:$M$150,6,FALSE))</f>
        <v>724</v>
      </c>
      <c r="Q27" s="23">
        <f>IF(E27="","",VLOOKUP(E27,'Base Datos'!$A$2:$M$150,7,FALSE))</f>
        <v>8</v>
      </c>
      <c r="R27" s="40">
        <f>IF(E27="","",VLOOKUP(E27,'Base Datos'!$A$2:$M$150,8,FALSE))</f>
        <v>6.2</v>
      </c>
      <c r="S27" s="40" t="str">
        <f>IF(E27="","",VLOOKUP(E27,'Base Datos'!$A$2:$M$150,9,FALSE))</f>
        <v>PP</v>
      </c>
      <c r="T27" s="33">
        <f>IF(E27="","",(H27*I27)-(J27+K27))</f>
        <v>8820</v>
      </c>
      <c r="U27" s="33">
        <f>IF(E27="","",(I27*R27)/1000)</f>
        <v>4.3400000000000001E-2</v>
      </c>
      <c r="V27" s="123">
        <f>IF(G27="",0,(G27*H27)/3600)</f>
        <v>7.7</v>
      </c>
      <c r="W27" s="45">
        <f>IFERROR(IF(E27="","",(H27/P27)),0)</f>
        <v>1.7403314917127073</v>
      </c>
      <c r="X27" s="94">
        <f>WEEKDAY(A27,1)</f>
        <v>4</v>
      </c>
      <c r="Y27" s="120">
        <f>MONTH(A27)</f>
        <v>7</v>
      </c>
      <c r="Z27" s="125">
        <f>WEEKNUM(A27)-WEEKNUM(DATE(YEAR(A27),MONTH(A27),1))+1</f>
        <v>4</v>
      </c>
      <c r="AA27" s="126">
        <f>IF(V27="",0,V27/8)</f>
        <v>0.96250000000000002</v>
      </c>
      <c r="AB27" s="125">
        <f>IF(E27="02PZ03405",0,1)</f>
        <v>1</v>
      </c>
    </row>
    <row r="28" spans="1:28" x14ac:dyDescent="0.2">
      <c r="A28" s="37">
        <v>44769</v>
      </c>
      <c r="B28" s="31" t="s">
        <v>34</v>
      </c>
      <c r="C28" s="31" t="s">
        <v>88</v>
      </c>
      <c r="D28" s="38">
        <v>1</v>
      </c>
      <c r="E28" s="39" t="s">
        <v>74</v>
      </c>
      <c r="F28" s="33" t="str">
        <f>IF(E28="","",VLOOKUP(E28,'Base Datos'!$A$2:$M$150,2,FALSE))</f>
        <v>Vertedor pico NEGRO</v>
      </c>
      <c r="G28" s="99">
        <v>33.200000000000003</v>
      </c>
      <c r="H28" s="102">
        <v>714</v>
      </c>
      <c r="I28" s="32">
        <v>7</v>
      </c>
      <c r="J28" s="32"/>
      <c r="K28" s="31"/>
      <c r="L28" s="39">
        <v>184975</v>
      </c>
      <c r="M28" s="33">
        <f>IF(E28="","",VLOOKUP(E28,'Base Datos'!$A$2:$M$150,3,FALSE))</f>
        <v>5</v>
      </c>
      <c r="N28" s="23">
        <f>IF(E28="","",VLOOKUP(E28,'Base Datos'!$A$2:$M$150,4,FALSE))</f>
        <v>720</v>
      </c>
      <c r="O28" s="23">
        <f>IF(E28="","",VLOOKUP(E28,'Base Datos'!$A$2:$M$150,5,FALSE))</f>
        <v>40</v>
      </c>
      <c r="P28" s="23">
        <f>IF(E28="","",VLOOKUP(E28,'Base Datos'!$A$2:$M$150,6,FALSE))</f>
        <v>724</v>
      </c>
      <c r="Q28" s="23">
        <f>IF(E28="","",VLOOKUP(E28,'Base Datos'!$A$2:$M$150,7,FALSE))</f>
        <v>8</v>
      </c>
      <c r="R28" s="40">
        <f>IF(E28="","",VLOOKUP(E28,'Base Datos'!$A$2:$M$150,8,FALSE))</f>
        <v>6.2</v>
      </c>
      <c r="S28" s="40" t="str">
        <f>IF(E28="","",VLOOKUP(E28,'Base Datos'!$A$2:$M$150,9,FALSE))</f>
        <v>PP</v>
      </c>
      <c r="T28" s="33">
        <f>IF(E28="","",(H28*I28)-(J28+K28))</f>
        <v>4998</v>
      </c>
      <c r="U28" s="33">
        <f>IF(E28="","",(I28*R28)/1000)</f>
        <v>4.3400000000000001E-2</v>
      </c>
      <c r="V28" s="123">
        <f>IF(G28="",0,(G28*H28)/3600)</f>
        <v>6.5846666666666671</v>
      </c>
      <c r="W28" s="45">
        <f>IFERROR(IF(E28="","",(H28/P28)),0)</f>
        <v>0.98618784530386738</v>
      </c>
      <c r="X28" s="94">
        <f>WEEKDAY(A28,1)</f>
        <v>4</v>
      </c>
      <c r="Y28" s="120">
        <f>MONTH(A28)</f>
        <v>7</v>
      </c>
      <c r="Z28" s="125">
        <f>WEEKNUM(A28)-WEEKNUM(DATE(YEAR(A28),MONTH(A28),1))+1</f>
        <v>5</v>
      </c>
      <c r="AA28" s="126">
        <f>IF(V28="",0,V28/8)</f>
        <v>0.82308333333333339</v>
      </c>
      <c r="AB28" s="125">
        <f>IF(E28="02PZ03405",0,1)</f>
        <v>1</v>
      </c>
    </row>
    <row r="29" spans="1:28" x14ac:dyDescent="0.2">
      <c r="A29" s="37">
        <v>44768</v>
      </c>
      <c r="B29" s="31" t="s">
        <v>87</v>
      </c>
      <c r="C29" s="31" t="s">
        <v>93</v>
      </c>
      <c r="D29" s="38">
        <v>1</v>
      </c>
      <c r="E29" s="39" t="s">
        <v>74</v>
      </c>
      <c r="F29" s="33" t="str">
        <f>IF(E29="","",VLOOKUP(E29,'Base Datos'!$A$2:$M$150,2,FALSE))</f>
        <v>Vertedor pico NEGRO</v>
      </c>
      <c r="G29" s="99">
        <v>31</v>
      </c>
      <c r="H29" s="102">
        <v>800</v>
      </c>
      <c r="I29" s="32">
        <v>7</v>
      </c>
      <c r="J29" s="32"/>
      <c r="K29" s="31"/>
      <c r="L29" s="39">
        <v>184975</v>
      </c>
      <c r="M29" s="33">
        <f>IF(E29="","",VLOOKUP(E29,'Base Datos'!$A$2:$M$150,3,FALSE))</f>
        <v>5</v>
      </c>
      <c r="N29" s="23">
        <f>IF(E29="","",VLOOKUP(E29,'Base Datos'!$A$2:$M$150,4,FALSE))</f>
        <v>720</v>
      </c>
      <c r="O29" s="23">
        <f>IF(E29="","",VLOOKUP(E29,'Base Datos'!$A$2:$M$150,5,FALSE))</f>
        <v>40</v>
      </c>
      <c r="P29" s="23">
        <f>IF(E29="","",VLOOKUP(E29,'Base Datos'!$A$2:$M$150,6,FALSE))</f>
        <v>724</v>
      </c>
      <c r="Q29" s="23">
        <f>IF(E29="","",VLOOKUP(E29,'Base Datos'!$A$2:$M$150,7,FALSE))</f>
        <v>8</v>
      </c>
      <c r="R29" s="40">
        <f>IF(E29="","",VLOOKUP(E29,'Base Datos'!$A$2:$M$150,8,FALSE))</f>
        <v>6.2</v>
      </c>
      <c r="S29" s="40" t="str">
        <f>IF(E29="","",VLOOKUP(E29,'Base Datos'!$A$2:$M$150,9,FALSE))</f>
        <v>PP</v>
      </c>
      <c r="T29" s="33">
        <f>IF(E29="","",(H29*I29)-(J29+K29))</f>
        <v>5600</v>
      </c>
      <c r="U29" s="33">
        <f>IF(E29="","",(I29*R29)/1000)</f>
        <v>4.3400000000000001E-2</v>
      </c>
      <c r="V29" s="123">
        <f>IF(G29="",0,(G29*H29)/3600)</f>
        <v>6.8888888888888893</v>
      </c>
      <c r="W29" s="45">
        <f>IFERROR(IF(E29="","",(H29/P29)),0)</f>
        <v>1.1049723756906078</v>
      </c>
      <c r="X29" s="94">
        <f>WEEKDAY(A29,1)</f>
        <v>3</v>
      </c>
      <c r="Y29" s="120">
        <f>MONTH(A29)</f>
        <v>7</v>
      </c>
      <c r="Z29" s="125">
        <f>WEEKNUM(A29)-WEEKNUM(DATE(YEAR(A29),MONTH(A29),1))+1</f>
        <v>5</v>
      </c>
      <c r="AA29" s="126">
        <f>IF(V29="",0,V29/8)</f>
        <v>0.86111111111111116</v>
      </c>
      <c r="AB29" s="125">
        <f>IF(E29="02PZ03405",0,1)</f>
        <v>1</v>
      </c>
    </row>
    <row r="30" spans="1:28" x14ac:dyDescent="0.2">
      <c r="A30" s="37">
        <v>44769</v>
      </c>
      <c r="B30" s="31" t="s">
        <v>87</v>
      </c>
      <c r="C30" s="31" t="s">
        <v>92</v>
      </c>
      <c r="D30" s="38">
        <v>1</v>
      </c>
      <c r="E30" s="39" t="s">
        <v>62</v>
      </c>
      <c r="F30" s="33" t="str">
        <f>IF(E30="","",VLOOKUP(E30,'Base Datos'!$A$2:$M$150,2,FALSE))</f>
        <v>Vertedor pico Colores</v>
      </c>
      <c r="G30" s="99">
        <v>33</v>
      </c>
      <c r="H30" s="102">
        <v>600</v>
      </c>
      <c r="I30" s="32">
        <v>7</v>
      </c>
      <c r="J30" s="32"/>
      <c r="K30" s="31"/>
      <c r="L30" s="39">
        <v>184975</v>
      </c>
      <c r="M30" s="33">
        <f>IF(E30="","",VLOOKUP(E30,'Base Datos'!$A$2:$M$150,3,FALSE))</f>
        <v>5</v>
      </c>
      <c r="N30" s="23">
        <f>IF(E30="","",VLOOKUP(E30,'Base Datos'!$A$2:$M$150,4,FALSE))</f>
        <v>720</v>
      </c>
      <c r="O30" s="23">
        <f>IF(E30="","",VLOOKUP(E30,'Base Datos'!$A$2:$M$150,5,FALSE))</f>
        <v>40</v>
      </c>
      <c r="P30" s="23">
        <f>IF(E30="","",VLOOKUP(E30,'Base Datos'!$A$2:$M$150,6,FALSE))</f>
        <v>724</v>
      </c>
      <c r="Q30" s="23">
        <f>IF(E30="","",VLOOKUP(E30,'Base Datos'!$A$2:$M$150,7,FALSE))</f>
        <v>8</v>
      </c>
      <c r="R30" s="40">
        <f>IF(E30="","",VLOOKUP(E30,'Base Datos'!$A$2:$M$150,8,FALSE))</f>
        <v>6.2</v>
      </c>
      <c r="S30" s="40" t="str">
        <f>IF(E30="","",VLOOKUP(E30,'Base Datos'!$A$2:$M$150,9,FALSE))</f>
        <v>PP</v>
      </c>
      <c r="T30" s="33">
        <f>IF(E30="","",(H30*I30)-(J30+K30))</f>
        <v>4200</v>
      </c>
      <c r="U30" s="33">
        <f>IF(E30="","",(I30*R30)/1000)</f>
        <v>4.3400000000000001E-2</v>
      </c>
      <c r="V30" s="123">
        <f>IF(G30="",0,(G30*H30)/3600)</f>
        <v>5.5</v>
      </c>
      <c r="W30" s="45">
        <f>IFERROR(IF(E30="","",(H30/P30)),0)</f>
        <v>0.82872928176795579</v>
      </c>
      <c r="X30" s="94">
        <f>WEEKDAY(A30,1)</f>
        <v>4</v>
      </c>
      <c r="Y30" s="120">
        <f>MONTH(A30)</f>
        <v>7</v>
      </c>
      <c r="Z30" s="125">
        <f>WEEKNUM(A30)-WEEKNUM(DATE(YEAR(A30),MONTH(A30),1))+1</f>
        <v>5</v>
      </c>
      <c r="AA30" s="126">
        <f>IF(V30="",0,V30/8)</f>
        <v>0.6875</v>
      </c>
      <c r="AB30" s="125">
        <f>IF(E30="02PZ03405",0,1)</f>
        <v>1</v>
      </c>
    </row>
    <row r="31" spans="1:28" x14ac:dyDescent="0.2">
      <c r="A31" s="37">
        <v>44774</v>
      </c>
      <c r="B31" s="31" t="s">
        <v>34</v>
      </c>
      <c r="C31" s="31" t="s">
        <v>89</v>
      </c>
      <c r="D31" s="38">
        <v>1</v>
      </c>
      <c r="E31" s="39" t="s">
        <v>62</v>
      </c>
      <c r="F31" s="33" t="str">
        <f>IF(E31="","",VLOOKUP(E31,'Base Datos'!$A$2:$M$150,2,FALSE))</f>
        <v>Vertedor pico Colores</v>
      </c>
      <c r="G31" s="99">
        <v>26</v>
      </c>
      <c r="H31" s="102">
        <v>900</v>
      </c>
      <c r="I31" s="32">
        <v>7</v>
      </c>
      <c r="J31" s="32"/>
      <c r="K31" s="31"/>
      <c r="L31" s="39">
        <v>184975</v>
      </c>
      <c r="M31" s="33">
        <f>IF(E31="","",VLOOKUP(E31,'Base Datos'!$A$2:$M$150,3,FALSE))</f>
        <v>5</v>
      </c>
      <c r="N31" s="23">
        <f>IF(E31="","",VLOOKUP(E31,'Base Datos'!$A$2:$M$150,4,FALSE))</f>
        <v>720</v>
      </c>
      <c r="O31" s="23">
        <f>IF(E31="","",VLOOKUP(E31,'Base Datos'!$A$2:$M$150,5,FALSE))</f>
        <v>40</v>
      </c>
      <c r="P31" s="23">
        <f>IF(E31="","",VLOOKUP(E31,'Base Datos'!$A$2:$M$150,6,FALSE))</f>
        <v>724</v>
      </c>
      <c r="Q31" s="23">
        <f>IF(E31="","",VLOOKUP(E31,'Base Datos'!$A$2:$M$150,7,FALSE))</f>
        <v>8</v>
      </c>
      <c r="R31" s="40">
        <f>IF(E31="","",VLOOKUP(E31,'Base Datos'!$A$2:$M$150,8,FALSE))</f>
        <v>6.2</v>
      </c>
      <c r="S31" s="40" t="str">
        <f>IF(E31="","",VLOOKUP(E31,'Base Datos'!$A$2:$M$150,9,FALSE))</f>
        <v>PP</v>
      </c>
      <c r="T31" s="33">
        <f>IF(E31="","",(H31*I31)-(J31+K31))</f>
        <v>6300</v>
      </c>
      <c r="U31" s="33">
        <f>IF(E31="","",(I31*R31)/1000)</f>
        <v>4.3400000000000001E-2</v>
      </c>
      <c r="V31" s="123">
        <f>IF(G31="",0,(G31*H31)/3600)</f>
        <v>6.5</v>
      </c>
      <c r="W31" s="45">
        <f>IFERROR(IF(E31="","",(H31/P31)),0)</f>
        <v>1.2430939226519337</v>
      </c>
      <c r="X31" s="94">
        <f>WEEKDAY(A31,1)</f>
        <v>2</v>
      </c>
      <c r="Y31" s="120">
        <f>MONTH(A31)</f>
        <v>8</v>
      </c>
      <c r="Z31" s="125">
        <f>WEEKNUM(A31)-WEEKNUM(DATE(YEAR(A31),MONTH(A31),1))+1</f>
        <v>1</v>
      </c>
      <c r="AA31" s="126">
        <f>IF(V31="",0,V31/8)</f>
        <v>0.8125</v>
      </c>
      <c r="AB31" s="125">
        <f>IF(E31="02PZ03405",0,1)</f>
        <v>1</v>
      </c>
    </row>
    <row r="32" spans="1:28" x14ac:dyDescent="0.2">
      <c r="A32" s="37">
        <v>44775</v>
      </c>
      <c r="B32" s="31" t="s">
        <v>34</v>
      </c>
      <c r="C32" s="31" t="s">
        <v>35</v>
      </c>
      <c r="D32" s="38">
        <v>5</v>
      </c>
      <c r="E32" s="39" t="s">
        <v>138</v>
      </c>
      <c r="F32" s="33" t="str">
        <f>IF(E32="","",VLOOKUP(E32,'Base Datos'!$A$2:$M$150,2,FALSE))</f>
        <v>Vaso Autocebante</v>
      </c>
      <c r="G32" s="99">
        <v>41</v>
      </c>
      <c r="H32" s="102">
        <v>122</v>
      </c>
      <c r="I32" s="32">
        <v>2</v>
      </c>
      <c r="J32" s="32"/>
      <c r="K32" s="31">
        <v>35</v>
      </c>
      <c r="L32" s="39">
        <v>184975</v>
      </c>
      <c r="M32" s="33">
        <f>IF(E32="","",VLOOKUP(E32,'Base Datos'!$A$2:$M$150,3,FALSE))</f>
        <v>17</v>
      </c>
      <c r="N32" s="23">
        <f>IF(E32="","",VLOOKUP(E32,'Base Datos'!$A$2:$M$150,4,FALSE))</f>
        <v>211</v>
      </c>
      <c r="O32" s="23">
        <f>IF(E32="","",VLOOKUP(E32,'Base Datos'!$A$2:$M$150,5,FALSE))</f>
        <v>35</v>
      </c>
      <c r="P32" s="23">
        <f>IF(E32="","",VLOOKUP(E32,'Base Datos'!$A$2:$M$150,6,FALSE))</f>
        <v>0</v>
      </c>
      <c r="Q32" s="23">
        <f>IF(E32="","",VLOOKUP(E32,'Base Datos'!$A$2:$M$150,7,FALSE))</f>
        <v>2</v>
      </c>
      <c r="R32" s="40">
        <f>IF(E32="","",VLOOKUP(E32,'Base Datos'!$A$2:$M$150,8,FALSE))</f>
        <v>0</v>
      </c>
      <c r="S32" s="40" t="str">
        <f>IF(E32="","",VLOOKUP(E32,'Base Datos'!$A$2:$M$150,9,FALSE))</f>
        <v>PP</v>
      </c>
      <c r="T32" s="33">
        <f>IF(E32="","",(H32*I32)-(J32+K32))</f>
        <v>209</v>
      </c>
      <c r="U32" s="33">
        <f>IF(E32="","",(I32*R32)/1000)</f>
        <v>0</v>
      </c>
      <c r="V32" s="123">
        <f>IF(G32="",0,(G32*H32)/3600)</f>
        <v>1.3894444444444445</v>
      </c>
      <c r="W32" s="45">
        <f>IFERROR(IF(E32="","",(H32/P32)),0)</f>
        <v>0</v>
      </c>
      <c r="X32" s="94">
        <f>WEEKDAY(A32,1)</f>
        <v>3</v>
      </c>
      <c r="Y32" s="120">
        <f>MONTH(A32)</f>
        <v>8</v>
      </c>
      <c r="Z32" s="125">
        <f>WEEKNUM(A32)-WEEKNUM(DATE(YEAR(A32),MONTH(A32),1))+1</f>
        <v>1</v>
      </c>
      <c r="AA32" s="126">
        <f>IF(V32="",0,V32/8)</f>
        <v>0.17368055555555556</v>
      </c>
      <c r="AB32" s="125">
        <f>IF(E32="02PZ03405",0,1)</f>
        <v>1</v>
      </c>
    </row>
    <row r="33" spans="1:28" x14ac:dyDescent="0.2">
      <c r="A33" s="37">
        <v>44747</v>
      </c>
      <c r="B33" s="119" t="s">
        <v>87</v>
      </c>
      <c r="C33" s="31" t="s">
        <v>92</v>
      </c>
      <c r="D33" s="38">
        <v>5</v>
      </c>
      <c r="E33" s="39" t="s">
        <v>61</v>
      </c>
      <c r="F33" s="33" t="str">
        <f>IF(E33="","",VLOOKUP(E33,'Base Datos'!$A$2:$M$150,2,FALSE))</f>
        <v>Tapa Lata 6 Colores</v>
      </c>
      <c r="G33" s="99">
        <v>36</v>
      </c>
      <c r="H33" s="102">
        <v>634</v>
      </c>
      <c r="I33" s="32">
        <v>1</v>
      </c>
      <c r="J33" s="32"/>
      <c r="K33" s="31"/>
      <c r="L33" s="39">
        <v>183471</v>
      </c>
      <c r="M33" s="33">
        <f>IF(E33="","",VLOOKUP(E33,'Base Datos'!$A$2:$M$150,3,FALSE))</f>
        <v>30</v>
      </c>
      <c r="N33" s="23">
        <f>IF(E33="","",VLOOKUP(E33,'Base Datos'!$A$2:$M$150,4,FALSE))</f>
        <v>120</v>
      </c>
      <c r="O33" s="23">
        <f>IF(E33="","",VLOOKUP(E33,'Base Datos'!$A$2:$M$150,5,FALSE))</f>
        <v>30</v>
      </c>
      <c r="P33" s="23">
        <f>IF(E33="","",VLOOKUP(E33,'Base Datos'!$A$2:$M$150,6,FALSE))</f>
        <v>960</v>
      </c>
      <c r="Q33" s="23">
        <f>IF(E33="","",VLOOKUP(E33,'Base Datos'!$A$2:$M$150,7,FALSE))</f>
        <v>1</v>
      </c>
      <c r="R33" s="40">
        <f>IF(E33="","",VLOOKUP(E33,'Base Datos'!$A$2:$M$150,8,FALSE))</f>
        <v>20</v>
      </c>
      <c r="S33" s="40" t="str">
        <f>IF(E33="","",VLOOKUP(E33,'Base Datos'!$A$2:$M$150,9,FALSE))</f>
        <v>PP</v>
      </c>
      <c r="T33" s="33">
        <f>IF(E33="","",(H33*I33)-(J33+K33))</f>
        <v>634</v>
      </c>
      <c r="U33" s="33">
        <f>IF(E33="","",(I33*R33)/1000)</f>
        <v>0.02</v>
      </c>
      <c r="V33" s="123">
        <f>IF(G33="",0,(G33*H33)/3600)</f>
        <v>6.34</v>
      </c>
      <c r="W33" s="45">
        <f>IFERROR(IF(E33="","",(H33/P33)),0)</f>
        <v>0.66041666666666665</v>
      </c>
      <c r="X33" s="94">
        <f>WEEKDAY(A33,1)</f>
        <v>3</v>
      </c>
      <c r="Y33" s="120">
        <f>MONTH(A33)</f>
        <v>7</v>
      </c>
      <c r="Z33" s="125">
        <f>WEEKNUM(A33)-WEEKNUM(DATE(YEAR(A33),MONTH(A33),1))+1</f>
        <v>2</v>
      </c>
      <c r="AA33" s="126">
        <f>IF(V33="",0,V33/8)</f>
        <v>0.79249999999999998</v>
      </c>
      <c r="AB33" s="125">
        <f>IF(E33="02PZ03405",0,1)</f>
        <v>1</v>
      </c>
    </row>
    <row r="34" spans="1:28" x14ac:dyDescent="0.2">
      <c r="A34" s="37">
        <v>44753</v>
      </c>
      <c r="B34" s="31" t="s">
        <v>87</v>
      </c>
      <c r="C34" s="31" t="s">
        <v>92</v>
      </c>
      <c r="D34" s="38">
        <v>5</v>
      </c>
      <c r="E34" s="39" t="s">
        <v>61</v>
      </c>
      <c r="F34" s="33" t="str">
        <f>IF(E34="","",VLOOKUP(E34,'Base Datos'!$A$2:$M$150,2,FALSE))</f>
        <v>Tapa Lata 6 Colores</v>
      </c>
      <c r="G34" s="32">
        <v>35</v>
      </c>
      <c r="H34" s="102">
        <v>730</v>
      </c>
      <c r="I34" s="32">
        <v>1</v>
      </c>
      <c r="J34" s="32"/>
      <c r="K34" s="31">
        <v>25</v>
      </c>
      <c r="L34" s="39">
        <v>184706</v>
      </c>
      <c r="M34" s="33">
        <f>IF(E34="","",VLOOKUP(E34,'Base Datos'!$A$2:$M$150,3,FALSE))</f>
        <v>30</v>
      </c>
      <c r="N34" s="23">
        <f>IF(E34="","",VLOOKUP(E34,'Base Datos'!$A$2:$M$150,4,FALSE))</f>
        <v>120</v>
      </c>
      <c r="O34" s="23">
        <f>IF(E34="","",VLOOKUP(E34,'Base Datos'!$A$2:$M$150,5,FALSE))</f>
        <v>30</v>
      </c>
      <c r="P34" s="23">
        <f>IF(E34="","",VLOOKUP(E34,'Base Datos'!$A$2:$M$150,6,FALSE))</f>
        <v>960</v>
      </c>
      <c r="Q34" s="23">
        <f>IF(E34="","",VLOOKUP(E34,'Base Datos'!$A$2:$M$150,7,FALSE))</f>
        <v>1</v>
      </c>
      <c r="R34" s="40">
        <f>IF(E34="","",VLOOKUP(E34,'Base Datos'!$A$2:$M$150,8,FALSE))</f>
        <v>20</v>
      </c>
      <c r="S34" s="40" t="str">
        <f>IF(E34="","",VLOOKUP(E34,'Base Datos'!$A$2:$M$150,9,FALSE))</f>
        <v>PP</v>
      </c>
      <c r="T34" s="33">
        <f>IF(E34="","",(H34*I34)-(J34+K34))</f>
        <v>705</v>
      </c>
      <c r="U34" s="33">
        <f>IF(E34="","",(I34*R34)/1000)</f>
        <v>0.02</v>
      </c>
      <c r="V34" s="123">
        <f>IF(G34="",0,(G34*H34)/3600)</f>
        <v>7.0972222222222223</v>
      </c>
      <c r="W34" s="45">
        <f>IFERROR(IF(E34="","",(H34/P34)),0)</f>
        <v>0.76041666666666663</v>
      </c>
      <c r="X34" s="94">
        <f>WEEKDAY(A34,1)</f>
        <v>2</v>
      </c>
      <c r="Y34" s="120">
        <f>MONTH(A34)</f>
        <v>7</v>
      </c>
      <c r="Z34" s="125">
        <f>WEEKNUM(A34)-WEEKNUM(DATE(YEAR(A34),MONTH(A34),1))+1</f>
        <v>3</v>
      </c>
      <c r="AA34" s="126">
        <f>IF(V34="",0,V34/8)</f>
        <v>0.88715277777777779</v>
      </c>
      <c r="AB34" s="125">
        <f>IF(E34="02PZ03405",0,1)</f>
        <v>1</v>
      </c>
    </row>
    <row r="35" spans="1:28" x14ac:dyDescent="0.2">
      <c r="A35" s="37">
        <v>44748</v>
      </c>
      <c r="B35" s="31" t="s">
        <v>87</v>
      </c>
      <c r="C35" s="31" t="s">
        <v>92</v>
      </c>
      <c r="D35" s="38">
        <v>5</v>
      </c>
      <c r="E35" s="39" t="s">
        <v>61</v>
      </c>
      <c r="F35" s="33" t="str">
        <f>IF(E35="","",VLOOKUP(E35,'Base Datos'!$A$2:$M$150,2,FALSE))</f>
        <v>Tapa Lata 6 Colores</v>
      </c>
      <c r="G35" s="32">
        <v>30.3</v>
      </c>
      <c r="H35" s="32">
        <v>750</v>
      </c>
      <c r="I35" s="32">
        <v>1</v>
      </c>
      <c r="J35" s="32">
        <v>0</v>
      </c>
      <c r="K35" s="31">
        <v>80</v>
      </c>
      <c r="L35" s="39">
        <v>184706</v>
      </c>
      <c r="M35" s="33">
        <f>IF(E35="","",VLOOKUP(E35,'Base Datos'!$A$2:$M$150,3,FALSE))</f>
        <v>30</v>
      </c>
      <c r="N35" s="23">
        <f>IF(E35="","",VLOOKUP(E35,'Base Datos'!$A$2:$M$150,4,FALSE))</f>
        <v>120</v>
      </c>
      <c r="O35" s="23">
        <f>IF(E35="","",VLOOKUP(E35,'Base Datos'!$A$2:$M$150,5,FALSE))</f>
        <v>30</v>
      </c>
      <c r="P35" s="23">
        <f>IF(E35="","",VLOOKUP(E35,'Base Datos'!$A$2:$M$150,6,FALSE))</f>
        <v>960</v>
      </c>
      <c r="Q35" s="23">
        <f>IF(E35="","",VLOOKUP(E35,'Base Datos'!$A$2:$M$150,7,FALSE))</f>
        <v>1</v>
      </c>
      <c r="R35" s="40">
        <f>IF(E35="","",VLOOKUP(E35,'Base Datos'!$A$2:$M$150,8,FALSE))</f>
        <v>20</v>
      </c>
      <c r="S35" s="40" t="str">
        <f>IF(E35="","",VLOOKUP(E35,'Base Datos'!$A$2:$M$150,9,FALSE))</f>
        <v>PP</v>
      </c>
      <c r="T35" s="33">
        <f>IF(E35="","",(H35*I35)-(J35+K35))</f>
        <v>670</v>
      </c>
      <c r="U35" s="33">
        <f>IF(E35="","",(H35*R35)/1000)</f>
        <v>15</v>
      </c>
      <c r="V35" s="123">
        <f>IF(G35="",0,(G35*H35)/3600)</f>
        <v>6.3125</v>
      </c>
      <c r="W35" s="45">
        <f>IFERROR(IF(E35="","",(H35/P35)),0)</f>
        <v>0.78125</v>
      </c>
      <c r="X35" s="94">
        <f>WEEKDAY(A35,1)</f>
        <v>4</v>
      </c>
      <c r="Y35" s="120">
        <f>MONTH(A35)</f>
        <v>7</v>
      </c>
      <c r="Z35" s="125">
        <f>WEEKNUM(A35)-WEEKNUM(DATE(YEAR(A35),MONTH(A35),1))+1</f>
        <v>2</v>
      </c>
      <c r="AA35" s="126">
        <f>IF(V35="",0,V35/8)</f>
        <v>0.7890625</v>
      </c>
      <c r="AB35" s="125">
        <f>IF(E35="02PZ03405",0,1)</f>
        <v>1</v>
      </c>
    </row>
    <row r="36" spans="1:28" x14ac:dyDescent="0.2">
      <c r="A36" s="101">
        <v>44749</v>
      </c>
      <c r="B36" s="31" t="s">
        <v>87</v>
      </c>
      <c r="C36" s="31" t="s">
        <v>92</v>
      </c>
      <c r="D36" s="38">
        <v>5</v>
      </c>
      <c r="E36" s="39" t="s">
        <v>61</v>
      </c>
      <c r="F36" s="33" t="str">
        <f>IF(E36="","",VLOOKUP(E36,'Base Datos'!$A$2:$M$150,2,FALSE))</f>
        <v>Tapa Lata 6 Colores</v>
      </c>
      <c r="G36" s="32">
        <v>31</v>
      </c>
      <c r="H36" s="32">
        <v>780</v>
      </c>
      <c r="I36" s="32">
        <v>1</v>
      </c>
      <c r="J36" s="32"/>
      <c r="K36" s="31">
        <v>50</v>
      </c>
      <c r="L36" s="39">
        <v>184706</v>
      </c>
      <c r="M36" s="33">
        <f>IF(E36="","",VLOOKUP(E36,'Base Datos'!$A$2:$M$150,3,FALSE))</f>
        <v>30</v>
      </c>
      <c r="N36" s="23">
        <f>IF(E36="","",VLOOKUP(E36,'Base Datos'!$A$2:$M$150,4,FALSE))</f>
        <v>120</v>
      </c>
      <c r="O36" s="23">
        <f>IF(E36="","",VLOOKUP(E36,'Base Datos'!$A$2:$M$150,5,FALSE))</f>
        <v>30</v>
      </c>
      <c r="P36" s="23">
        <f>IF(E36="","",VLOOKUP(E36,'Base Datos'!$A$2:$M$150,6,FALSE))</f>
        <v>960</v>
      </c>
      <c r="Q36" s="23">
        <f>IF(E36="","",VLOOKUP(E36,'Base Datos'!$A$2:$M$150,7,FALSE))</f>
        <v>1</v>
      </c>
      <c r="R36" s="40">
        <f>IF(E36="","",VLOOKUP(E36,'Base Datos'!$A$2:$M$150,8,FALSE))</f>
        <v>20</v>
      </c>
      <c r="S36" s="40" t="str">
        <f>IF(E36="","",VLOOKUP(E36,'Base Datos'!$A$2:$M$150,9,FALSE))</f>
        <v>PP</v>
      </c>
      <c r="T36" s="33">
        <f>IF(E36="","",(H36*I36)-(J36+K36))</f>
        <v>730</v>
      </c>
      <c r="U36" s="33">
        <f>IF(E36="","",(H36*R36)/1000)</f>
        <v>15.6</v>
      </c>
      <c r="V36" s="123">
        <f>IF(G36="",0,(G36*H36)/3600)</f>
        <v>6.7166666666666668</v>
      </c>
      <c r="W36" s="45">
        <f>IFERROR(IF(E36="","",(H36/P36)),0)</f>
        <v>0.8125</v>
      </c>
      <c r="X36" s="94">
        <f>WEEKDAY(A36,1)</f>
        <v>5</v>
      </c>
      <c r="Y36" s="120">
        <f>MONTH(A36)</f>
        <v>7</v>
      </c>
      <c r="Z36" s="125">
        <f>WEEKNUM(A36)-WEEKNUM(DATE(YEAR(A36),MONTH(A36),1))+1</f>
        <v>2</v>
      </c>
      <c r="AA36" s="126">
        <f>IF(V36="",0,V36/8)</f>
        <v>0.83958333333333335</v>
      </c>
      <c r="AB36" s="125">
        <f>IF(E36="02PZ03405",0,1)</f>
        <v>1</v>
      </c>
    </row>
    <row r="37" spans="1:28" x14ac:dyDescent="0.2">
      <c r="A37" s="148">
        <v>44746</v>
      </c>
      <c r="B37" s="96" t="s">
        <v>87</v>
      </c>
      <c r="C37" s="96" t="s">
        <v>92</v>
      </c>
      <c r="D37" s="38">
        <v>5</v>
      </c>
      <c r="E37" s="39" t="s">
        <v>61</v>
      </c>
      <c r="F37" s="95" t="str">
        <f>IF(E37="","",VLOOKUP(E37,'Base Datos'!$A$2:$M$150,2,FALSE))</f>
        <v>Tapa Lata 6 Colores</v>
      </c>
      <c r="G37" s="99">
        <v>36</v>
      </c>
      <c r="H37" s="99">
        <v>732</v>
      </c>
      <c r="I37" s="99">
        <v>1</v>
      </c>
      <c r="J37" s="99"/>
      <c r="K37" s="39">
        <v>30</v>
      </c>
      <c r="L37" s="39">
        <v>183471</v>
      </c>
      <c r="M37" s="97">
        <f>IF(E37="","",VLOOKUP(E37,'Base Datos'!$A$2:$M$150,3,FALSE))</f>
        <v>30</v>
      </c>
      <c r="N37" s="40">
        <f>IF(E37="","",VLOOKUP(E37,'Base Datos'!$A$2:$M$150,4,FALSE))</f>
        <v>120</v>
      </c>
      <c r="O37" s="40">
        <f>IF(E37="","",VLOOKUP(E37,'Base Datos'!$A$2:$M$150,5,FALSE))</f>
        <v>30</v>
      </c>
      <c r="P37" s="40">
        <f>IF(E37="","",VLOOKUP(E37,'Base Datos'!$A$2:$M$150,6,FALSE))</f>
        <v>960</v>
      </c>
      <c r="Q37" s="40">
        <f>IF(E37="","",VLOOKUP(E37,'Base Datos'!$A$2:$M$150,7,FALSE))</f>
        <v>1</v>
      </c>
      <c r="R37" s="40">
        <f>IF(E37="","",VLOOKUP(E37,'Base Datos'!$A$2:$M$150,8,FALSE))</f>
        <v>20</v>
      </c>
      <c r="S37" s="40" t="str">
        <f>IF(E37="","",VLOOKUP(E37,'Base Datos'!$A$2:$M$150,9,FALSE))</f>
        <v>PP</v>
      </c>
      <c r="T37" s="97">
        <f>IF(E37="","",(H37*I37)-(J37+K37))</f>
        <v>702</v>
      </c>
      <c r="U37" s="98">
        <f>IF(E37="","",(H37*R37)/1000)</f>
        <v>14.64</v>
      </c>
      <c r="V37" s="123">
        <f>IF(G37="",0,(G37*H37)/3600)</f>
        <v>7.32</v>
      </c>
      <c r="W37" s="45">
        <f>IFERROR(IF(E37="","",(H37/P37)),0)</f>
        <v>0.76249999999999996</v>
      </c>
      <c r="X37" s="94">
        <f>WEEKDAY(A37,1)</f>
        <v>2</v>
      </c>
      <c r="Y37" s="120">
        <f>MONTH(A37)</f>
        <v>7</v>
      </c>
      <c r="Z37" s="125">
        <f>WEEKNUM(A37)-WEEKNUM(DATE(YEAR(A37),MONTH(A37),1))+1</f>
        <v>2</v>
      </c>
      <c r="AA37" s="126">
        <f>IF(V37="",0,V37/8)</f>
        <v>0.91500000000000004</v>
      </c>
      <c r="AB37" s="125">
        <f>IF(E37="02PZ03405",0,1)</f>
        <v>1</v>
      </c>
    </row>
    <row r="38" spans="1:28" x14ac:dyDescent="0.2">
      <c r="A38" s="148">
        <v>44743</v>
      </c>
      <c r="B38" s="96" t="s">
        <v>87</v>
      </c>
      <c r="C38" s="96" t="s">
        <v>92</v>
      </c>
      <c r="D38" s="38">
        <v>5</v>
      </c>
      <c r="E38" s="39" t="s">
        <v>61</v>
      </c>
      <c r="F38" s="95" t="str">
        <f>IF(E38="","",VLOOKUP(E38,'Base Datos'!$A$2:$M$150,2,FALSE))</f>
        <v>Tapa Lata 6 Colores</v>
      </c>
      <c r="G38" s="99">
        <v>30</v>
      </c>
      <c r="H38" s="99">
        <v>1050</v>
      </c>
      <c r="I38" s="99">
        <v>1</v>
      </c>
      <c r="J38" s="99"/>
      <c r="K38" s="39">
        <v>30</v>
      </c>
      <c r="L38" s="39">
        <v>183471</v>
      </c>
      <c r="M38" s="97">
        <f>IF(E38="","",VLOOKUP(E38,'Base Datos'!$A$2:$M$150,3,FALSE))</f>
        <v>30</v>
      </c>
      <c r="N38" s="40">
        <f>IF(E38="","",VLOOKUP(E38,'Base Datos'!$A$2:$M$150,4,FALSE))</f>
        <v>120</v>
      </c>
      <c r="O38" s="40">
        <f>IF(E38="","",VLOOKUP(E38,'Base Datos'!$A$2:$M$150,5,FALSE))</f>
        <v>30</v>
      </c>
      <c r="P38" s="40">
        <f>IF(E38="","",VLOOKUP(E38,'Base Datos'!$A$2:$M$150,6,FALSE))</f>
        <v>960</v>
      </c>
      <c r="Q38" s="40">
        <f>IF(E38="","",VLOOKUP(E38,'Base Datos'!$A$2:$M$150,7,FALSE))</f>
        <v>1</v>
      </c>
      <c r="R38" s="40">
        <f>IF(E38="","",VLOOKUP(E38,'Base Datos'!$A$2:$M$150,8,FALSE))</f>
        <v>20</v>
      </c>
      <c r="S38" s="40" t="str">
        <f>IF(E38="","",VLOOKUP(E38,'Base Datos'!$A$2:$M$150,9,FALSE))</f>
        <v>PP</v>
      </c>
      <c r="T38" s="97">
        <f>IF(E38="","",(H38*I38)-(J38+K38))</f>
        <v>1020</v>
      </c>
      <c r="U38" s="98">
        <f>IF(E38="","",(H38*R38)/1000)</f>
        <v>21</v>
      </c>
      <c r="V38" s="123">
        <f>IF(G38="",0,(G38*H38)/3600)</f>
        <v>8.75</v>
      </c>
      <c r="W38" s="45">
        <f>IFERROR(IF(E38="","",(H38/P38)),0)</f>
        <v>1.09375</v>
      </c>
      <c r="X38" s="94">
        <f>WEEKDAY(A38,1)</f>
        <v>6</v>
      </c>
      <c r="Y38" s="120">
        <f>MONTH(A38)</f>
        <v>7</v>
      </c>
      <c r="Z38" s="125">
        <f>WEEKNUM(A38)-WEEKNUM(DATE(YEAR(A38),MONTH(A38),1))+1</f>
        <v>1</v>
      </c>
      <c r="AA38" s="126">
        <f>IF(V38="",0,V38/8)</f>
        <v>1.09375</v>
      </c>
      <c r="AB38" s="125">
        <f>IF(E38="02PZ03405",0,1)</f>
        <v>1</v>
      </c>
    </row>
    <row r="39" spans="1:28" x14ac:dyDescent="0.2">
      <c r="A39" s="101">
        <v>44749</v>
      </c>
      <c r="B39" s="31" t="s">
        <v>34</v>
      </c>
      <c r="C39" s="31" t="s">
        <v>89</v>
      </c>
      <c r="D39" s="38">
        <v>5</v>
      </c>
      <c r="E39" s="39" t="s">
        <v>61</v>
      </c>
      <c r="F39" s="33" t="str">
        <f>IF(E39="","",VLOOKUP(E39,'Base Datos'!$A$2:$M$150,2,FALSE))</f>
        <v>Tapa Lata 6 Colores</v>
      </c>
      <c r="G39" s="32">
        <v>42.3</v>
      </c>
      <c r="H39" s="32">
        <v>557</v>
      </c>
      <c r="I39" s="32">
        <v>1</v>
      </c>
      <c r="J39" s="32"/>
      <c r="K39" s="31">
        <v>20</v>
      </c>
      <c r="L39" s="39">
        <v>183471</v>
      </c>
      <c r="M39" s="33">
        <f>IF(E39="","",VLOOKUP(E39,'Base Datos'!$A$2:$M$150,3,FALSE))</f>
        <v>30</v>
      </c>
      <c r="N39" s="23">
        <f>IF(E39="","",VLOOKUP(E39,'Base Datos'!$A$2:$M$150,4,FALSE))</f>
        <v>120</v>
      </c>
      <c r="O39" s="23">
        <f>IF(E39="","",VLOOKUP(E39,'Base Datos'!$A$2:$M$150,5,FALSE))</f>
        <v>30</v>
      </c>
      <c r="P39" s="23">
        <f>IF(E39="","",VLOOKUP(E39,'Base Datos'!$A$2:$M$150,6,FALSE))</f>
        <v>960</v>
      </c>
      <c r="Q39" s="23">
        <f>IF(E39="","",VLOOKUP(E39,'Base Datos'!$A$2:$M$150,7,FALSE))</f>
        <v>1</v>
      </c>
      <c r="R39" s="40">
        <f>IF(E39="","",VLOOKUP(E39,'Base Datos'!$A$2:$M$150,8,FALSE))</f>
        <v>20</v>
      </c>
      <c r="S39" s="40" t="str">
        <f>IF(E39="","",VLOOKUP(E39,'Base Datos'!$A$2:$M$150,9,FALSE))</f>
        <v>PP</v>
      </c>
      <c r="T39" s="33">
        <f>IF(E39="","",(H39*I39)-(J39+K39))</f>
        <v>537</v>
      </c>
      <c r="U39" s="33">
        <f>IF(E39="","",(H39*R39)/1000)</f>
        <v>11.14</v>
      </c>
      <c r="V39" s="123">
        <f>IF(G39="",0,(G39*H39)/3600)</f>
        <v>6.5447499999999996</v>
      </c>
      <c r="W39" s="45">
        <f>IFERROR(IF(E39="","",(H39/P39)),0)</f>
        <v>0.58020833333333333</v>
      </c>
      <c r="X39" s="94">
        <f>WEEKDAY(A39,1)</f>
        <v>5</v>
      </c>
      <c r="Y39" s="120">
        <f>MONTH(A39)</f>
        <v>7</v>
      </c>
      <c r="Z39" s="125">
        <f>WEEKNUM(A39)-WEEKNUM(DATE(YEAR(A39),MONTH(A39),1))+1</f>
        <v>2</v>
      </c>
      <c r="AA39" s="126">
        <f>IF(V39="",0,V39/8)</f>
        <v>0.81809374999999995</v>
      </c>
      <c r="AB39" s="125">
        <f>IF(E39="02PZ03405",0,1)</f>
        <v>1</v>
      </c>
    </row>
    <row r="40" spans="1:28" x14ac:dyDescent="0.2">
      <c r="A40" s="37">
        <v>44769</v>
      </c>
      <c r="B40" s="31" t="s">
        <v>34</v>
      </c>
      <c r="C40" s="31" t="s">
        <v>35</v>
      </c>
      <c r="D40" s="38">
        <v>3</v>
      </c>
      <c r="E40" s="39" t="s">
        <v>61</v>
      </c>
      <c r="F40" s="33" t="str">
        <f>IF(E40="","",VLOOKUP(E40,'Base Datos'!$A$2:$M$150,2,FALSE))</f>
        <v>Tapa Lata 6 Colores</v>
      </c>
      <c r="G40" s="99">
        <v>35</v>
      </c>
      <c r="H40" s="102">
        <v>35</v>
      </c>
      <c r="I40" s="32">
        <v>1</v>
      </c>
      <c r="J40" s="32"/>
      <c r="K40" s="31"/>
      <c r="L40" s="39">
        <v>184975</v>
      </c>
      <c r="M40" s="33">
        <f>IF(E40="","",VLOOKUP(E40,'Base Datos'!$A$2:$M$150,3,FALSE))</f>
        <v>30</v>
      </c>
      <c r="N40" s="23">
        <f>IF(E40="","",VLOOKUP(E40,'Base Datos'!$A$2:$M$150,4,FALSE))</f>
        <v>120</v>
      </c>
      <c r="O40" s="23">
        <f>IF(E40="","",VLOOKUP(E40,'Base Datos'!$A$2:$M$150,5,FALSE))</f>
        <v>30</v>
      </c>
      <c r="P40" s="23">
        <f>IF(E40="","",VLOOKUP(E40,'Base Datos'!$A$2:$M$150,6,FALSE))</f>
        <v>960</v>
      </c>
      <c r="Q40" s="23">
        <f>IF(E40="","",VLOOKUP(E40,'Base Datos'!$A$2:$M$150,7,FALSE))</f>
        <v>1</v>
      </c>
      <c r="R40" s="40">
        <f>IF(E40="","",VLOOKUP(E40,'Base Datos'!$A$2:$M$150,8,FALSE))</f>
        <v>20</v>
      </c>
      <c r="S40" s="40" t="str">
        <f>IF(E40="","",VLOOKUP(E40,'Base Datos'!$A$2:$M$150,9,FALSE))</f>
        <v>PP</v>
      </c>
      <c r="T40" s="33">
        <f>IF(E40="","",(H40*I40)-(J40+K40))</f>
        <v>35</v>
      </c>
      <c r="U40" s="33">
        <f>IF(E40="","",(I40*R40)/1000)</f>
        <v>0.02</v>
      </c>
      <c r="V40" s="123">
        <f>IF(G40="",0,(G40*H40)/3600)</f>
        <v>0.34027777777777779</v>
      </c>
      <c r="W40" s="45">
        <f>IFERROR(IF(E40="","",(H40/P40)),0)</f>
        <v>3.6458333333333336E-2</v>
      </c>
      <c r="X40" s="94">
        <f>WEEKDAY(A40,1)</f>
        <v>4</v>
      </c>
      <c r="Y40" s="120">
        <f>MONTH(A40)</f>
        <v>7</v>
      </c>
      <c r="Z40" s="125">
        <f>WEEKNUM(A40)-WEEKNUM(DATE(YEAR(A40),MONTH(A40),1))+1</f>
        <v>5</v>
      </c>
      <c r="AA40" s="126">
        <f>IF(V40="",0,V40/8)</f>
        <v>4.2534722222222224E-2</v>
      </c>
      <c r="AB40" s="125">
        <f>IF(E40="02PZ03405",0,1)</f>
        <v>1</v>
      </c>
    </row>
    <row r="41" spans="1:28" x14ac:dyDescent="0.2">
      <c r="A41" s="37">
        <v>44747</v>
      </c>
      <c r="B41" s="119" t="s">
        <v>34</v>
      </c>
      <c r="C41" s="31" t="s">
        <v>35</v>
      </c>
      <c r="D41" s="38">
        <v>5</v>
      </c>
      <c r="E41" s="39" t="s">
        <v>61</v>
      </c>
      <c r="F41" s="33" t="str">
        <f>IF(E41="","",VLOOKUP(E41,'Base Datos'!$A$2:$M$150,2,FALSE))</f>
        <v>Tapa Lata 6 Colores</v>
      </c>
      <c r="G41" s="99">
        <v>36</v>
      </c>
      <c r="H41" s="102">
        <v>764</v>
      </c>
      <c r="I41" s="32">
        <v>6</v>
      </c>
      <c r="J41" s="32"/>
      <c r="K41" s="31"/>
      <c r="L41" s="39">
        <v>183471</v>
      </c>
      <c r="M41" s="33">
        <f>IF(E41="","",VLOOKUP(E41,'Base Datos'!$A$2:$M$150,3,FALSE))</f>
        <v>30</v>
      </c>
      <c r="N41" s="23">
        <f>IF(E41="","",VLOOKUP(E41,'Base Datos'!$A$2:$M$150,4,FALSE))</f>
        <v>120</v>
      </c>
      <c r="O41" s="23">
        <f>IF(E41="","",VLOOKUP(E41,'Base Datos'!$A$2:$M$150,5,FALSE))</f>
        <v>30</v>
      </c>
      <c r="P41" s="23">
        <f>IF(E41="","",VLOOKUP(E41,'Base Datos'!$A$2:$M$150,6,FALSE))</f>
        <v>960</v>
      </c>
      <c r="Q41" s="23">
        <f>IF(E41="","",VLOOKUP(E41,'Base Datos'!$A$2:$M$150,7,FALSE))</f>
        <v>1</v>
      </c>
      <c r="R41" s="40">
        <f>IF(E41="","",VLOOKUP(E41,'Base Datos'!$A$2:$M$150,8,FALSE))</f>
        <v>20</v>
      </c>
      <c r="S41" s="40" t="str">
        <f>IF(E41="","",VLOOKUP(E41,'Base Datos'!$A$2:$M$150,9,FALSE))</f>
        <v>PP</v>
      </c>
      <c r="T41" s="33">
        <f>IF(E41="","",(H41*I41)-(J41+K41))</f>
        <v>4584</v>
      </c>
      <c r="U41" s="33">
        <f>IF(E41="","",(I41*R41)/1000)</f>
        <v>0.12</v>
      </c>
      <c r="V41" s="123">
        <f>IF(G41="",0,(G41*H41)/3600)</f>
        <v>7.64</v>
      </c>
      <c r="W41" s="45">
        <f>IFERROR(IF(E41="","",(H41/P41)),0)</f>
        <v>0.79583333333333328</v>
      </c>
      <c r="X41" s="94">
        <f>WEEKDAY(A41,1)</f>
        <v>3</v>
      </c>
      <c r="Y41" s="120">
        <f>MONTH(A41)</f>
        <v>7</v>
      </c>
      <c r="Z41" s="125">
        <f>WEEKNUM(A41)-WEEKNUM(DATE(YEAR(A41),MONTH(A41),1))+1</f>
        <v>2</v>
      </c>
      <c r="AA41" s="126">
        <f>IF(V41="",0,V41/8)</f>
        <v>0.95499999999999996</v>
      </c>
      <c r="AB41" s="125">
        <f>IF(E41="02PZ03405",0,1)</f>
        <v>1</v>
      </c>
    </row>
    <row r="42" spans="1:28" x14ac:dyDescent="0.2">
      <c r="A42" s="37">
        <v>44753</v>
      </c>
      <c r="B42" s="31" t="s">
        <v>86</v>
      </c>
      <c r="C42" s="31" t="s">
        <v>35</v>
      </c>
      <c r="D42" s="38">
        <v>5</v>
      </c>
      <c r="E42" s="39" t="s">
        <v>61</v>
      </c>
      <c r="F42" s="33" t="str">
        <f>IF(E42="","",VLOOKUP(E42,'Base Datos'!$A$2:$M$150,2,FALSE))</f>
        <v>Tapa Lata 6 Colores</v>
      </c>
      <c r="G42" s="32">
        <v>35.5</v>
      </c>
      <c r="H42" s="102">
        <v>765</v>
      </c>
      <c r="I42" s="32">
        <v>1</v>
      </c>
      <c r="J42" s="32">
        <v>0</v>
      </c>
      <c r="K42" s="31">
        <v>46</v>
      </c>
      <c r="L42" s="39">
        <v>184706</v>
      </c>
      <c r="M42" s="33">
        <f>IF(E42="","",VLOOKUP(E42,'Base Datos'!$A$2:$M$150,3,FALSE))</f>
        <v>30</v>
      </c>
      <c r="N42" s="23">
        <f>IF(E42="","",VLOOKUP(E42,'Base Datos'!$A$2:$M$150,4,FALSE))</f>
        <v>120</v>
      </c>
      <c r="O42" s="23">
        <f>IF(E42="","",VLOOKUP(E42,'Base Datos'!$A$2:$M$150,5,FALSE))</f>
        <v>30</v>
      </c>
      <c r="P42" s="23">
        <f>IF(E42="","",VLOOKUP(E42,'Base Datos'!$A$2:$M$150,6,FALSE))</f>
        <v>960</v>
      </c>
      <c r="Q42" s="23">
        <f>IF(E42="","",VLOOKUP(E42,'Base Datos'!$A$2:$M$150,7,FALSE))</f>
        <v>1</v>
      </c>
      <c r="R42" s="40">
        <f>IF(E42="","",VLOOKUP(E42,'Base Datos'!$A$2:$M$150,8,FALSE))</f>
        <v>20</v>
      </c>
      <c r="S42" s="40" t="str">
        <f>IF(E42="","",VLOOKUP(E42,'Base Datos'!$A$2:$M$150,9,FALSE))</f>
        <v>PP</v>
      </c>
      <c r="T42" s="33">
        <f>IF(E42="","",(H42*I42)-(J42+K42))</f>
        <v>719</v>
      </c>
      <c r="U42" s="33">
        <f>IF(E42="","",(I42*R42)/1000)</f>
        <v>0.02</v>
      </c>
      <c r="V42" s="123">
        <f>IF(G42="",0,(G42*H42)/3600)</f>
        <v>7.5437500000000002</v>
      </c>
      <c r="W42" s="45">
        <f>IFERROR(IF(E42="","",(H42/P42)),0)</f>
        <v>0.796875</v>
      </c>
      <c r="X42" s="94">
        <f>WEEKDAY(A42,1)</f>
        <v>2</v>
      </c>
      <c r="Y42" s="120">
        <f>MONTH(A42)</f>
        <v>7</v>
      </c>
      <c r="Z42" s="125">
        <f>WEEKNUM(A42)-WEEKNUM(DATE(YEAR(A42),MONTH(A42),1))+1</f>
        <v>3</v>
      </c>
      <c r="AA42" s="126">
        <f>IF(V42="",0,V42/8)</f>
        <v>0.94296875000000002</v>
      </c>
      <c r="AB42" s="125">
        <f>IF(E42="02PZ03405",0,1)</f>
        <v>1</v>
      </c>
    </row>
    <row r="43" spans="1:28" x14ac:dyDescent="0.2">
      <c r="A43" s="37">
        <v>44750</v>
      </c>
      <c r="B43" s="31" t="s">
        <v>34</v>
      </c>
      <c r="C43" s="31" t="s">
        <v>35</v>
      </c>
      <c r="D43" s="38">
        <v>5</v>
      </c>
      <c r="E43" s="39" t="s">
        <v>61</v>
      </c>
      <c r="F43" s="33" t="str">
        <f>IF(E43="","",VLOOKUP(E43,'Base Datos'!$A$2:$M$150,2,FALSE))</f>
        <v>Tapa Lata 6 Colores</v>
      </c>
      <c r="G43" s="32">
        <v>31</v>
      </c>
      <c r="H43" s="32">
        <v>756</v>
      </c>
      <c r="I43" s="32">
        <v>1</v>
      </c>
      <c r="J43" s="32"/>
      <c r="K43" s="31">
        <v>1</v>
      </c>
      <c r="L43" s="39">
        <v>184706</v>
      </c>
      <c r="M43" s="33">
        <f>IF(E43="","",VLOOKUP(E43,'Base Datos'!$A$2:$M$150,3,FALSE))</f>
        <v>30</v>
      </c>
      <c r="N43" s="23">
        <f>IF(E43="","",VLOOKUP(E43,'Base Datos'!$A$2:$M$150,4,FALSE))</f>
        <v>120</v>
      </c>
      <c r="O43" s="23">
        <f>IF(E43="","",VLOOKUP(E43,'Base Datos'!$A$2:$M$150,5,FALSE))</f>
        <v>30</v>
      </c>
      <c r="P43" s="23">
        <f>IF(E43="","",VLOOKUP(E43,'Base Datos'!$A$2:$M$150,6,FALSE))</f>
        <v>960</v>
      </c>
      <c r="Q43" s="23">
        <f>IF(E43="","",VLOOKUP(E43,'Base Datos'!$A$2:$M$150,7,FALSE))</f>
        <v>1</v>
      </c>
      <c r="R43" s="40">
        <f>IF(E43="","",VLOOKUP(E43,'Base Datos'!$A$2:$M$150,8,FALSE))</f>
        <v>20</v>
      </c>
      <c r="S43" s="40" t="str">
        <f>IF(E43="","",VLOOKUP(E43,'Base Datos'!$A$2:$M$150,9,FALSE))</f>
        <v>PP</v>
      </c>
      <c r="T43" s="33">
        <f>IF(E43="","",(H43*I43)-(J43+K43))</f>
        <v>755</v>
      </c>
      <c r="U43" s="33">
        <f>IF(E43="","",(H43*R43)/1000)</f>
        <v>15.12</v>
      </c>
      <c r="V43" s="123">
        <f>IF(G43="",0,(G43*H43)/3600)</f>
        <v>6.51</v>
      </c>
      <c r="W43" s="45">
        <f>IFERROR(IF(E43="","",(H43/P43)),0)</f>
        <v>0.78749999999999998</v>
      </c>
      <c r="X43" s="94">
        <f>WEEKDAY(A43,1)</f>
        <v>6</v>
      </c>
      <c r="Y43" s="120">
        <f>MONTH(A43)</f>
        <v>7</v>
      </c>
      <c r="Z43" s="125">
        <f>WEEKNUM(A43)-WEEKNUM(DATE(YEAR(A43),MONTH(A43),1))+1</f>
        <v>2</v>
      </c>
      <c r="AA43" s="126">
        <f>IF(V43="",0,V43/8)</f>
        <v>0.81374999999999997</v>
      </c>
      <c r="AB43" s="125">
        <f>IF(E43="02PZ03405",0,1)</f>
        <v>1</v>
      </c>
    </row>
    <row r="44" spans="1:28" x14ac:dyDescent="0.2">
      <c r="A44" s="101">
        <v>44748</v>
      </c>
      <c r="B44" s="96" t="s">
        <v>34</v>
      </c>
      <c r="C44" s="96" t="s">
        <v>35</v>
      </c>
      <c r="D44" s="38">
        <v>5</v>
      </c>
      <c r="E44" s="39" t="s">
        <v>61</v>
      </c>
      <c r="F44" s="95" t="str">
        <f>IF(E44="","",VLOOKUP(E44,'Base Datos'!$A$2:$M$150,2,FALSE))</f>
        <v>Tapa Lata 6 Colores</v>
      </c>
      <c r="G44" s="99">
        <v>36</v>
      </c>
      <c r="H44" s="99">
        <v>569</v>
      </c>
      <c r="I44" s="99">
        <v>1</v>
      </c>
      <c r="J44" s="99">
        <v>10</v>
      </c>
      <c r="K44" s="39">
        <v>5</v>
      </c>
      <c r="L44" s="39">
        <v>183471</v>
      </c>
      <c r="M44" s="97">
        <f>IF(E44="","",VLOOKUP(E44,'Base Datos'!$A$2:$M$150,3,FALSE))</f>
        <v>30</v>
      </c>
      <c r="N44" s="40">
        <f>IF(E44="","",VLOOKUP(E44,'Base Datos'!$A$2:$M$150,4,FALSE))</f>
        <v>120</v>
      </c>
      <c r="O44" s="40">
        <f>IF(E44="","",VLOOKUP(E44,'Base Datos'!$A$2:$M$150,5,FALSE))</f>
        <v>30</v>
      </c>
      <c r="P44" s="40">
        <f>IF(E44="","",VLOOKUP(E44,'Base Datos'!$A$2:$M$150,6,FALSE))</f>
        <v>960</v>
      </c>
      <c r="Q44" s="40">
        <f>IF(E44="","",VLOOKUP(E44,'Base Datos'!$A$2:$M$150,7,FALSE))</f>
        <v>1</v>
      </c>
      <c r="R44" s="40">
        <f>IF(E44="","",VLOOKUP(E44,'Base Datos'!$A$2:$M$150,8,FALSE))</f>
        <v>20</v>
      </c>
      <c r="S44" s="40" t="str">
        <f>IF(E44="","",VLOOKUP(E44,'Base Datos'!$A$2:$M$150,9,FALSE))</f>
        <v>PP</v>
      </c>
      <c r="T44" s="97">
        <f>IF(E44="","",(H44*I44)-(J44+K44))</f>
        <v>554</v>
      </c>
      <c r="U44" s="98">
        <f>IF(E44="","",(H44*R44)/1000)</f>
        <v>11.38</v>
      </c>
      <c r="V44" s="123">
        <f>IF(G44="",0,(G44*H44)/3600)</f>
        <v>5.69</v>
      </c>
      <c r="W44" s="45">
        <f>IFERROR(IF(E44="","",(H44/P44)),0)</f>
        <v>0.59270833333333328</v>
      </c>
      <c r="X44" s="94">
        <f>WEEKDAY(A44,1)</f>
        <v>4</v>
      </c>
      <c r="Y44" s="120">
        <f>MONTH(A44)</f>
        <v>7</v>
      </c>
      <c r="Z44" s="125">
        <f>WEEKNUM(A44)-WEEKNUM(DATE(YEAR(A44),MONTH(A44),1))+1</f>
        <v>2</v>
      </c>
      <c r="AA44" s="126">
        <f>IF(V44="",0,V44/8)</f>
        <v>0.71125000000000005</v>
      </c>
      <c r="AB44" s="125">
        <f>IF(E44="02PZ03405",0,1)</f>
        <v>1</v>
      </c>
    </row>
    <row r="45" spans="1:28" x14ac:dyDescent="0.2">
      <c r="A45" s="37">
        <v>44775</v>
      </c>
      <c r="B45" s="31" t="s">
        <v>86</v>
      </c>
      <c r="C45" s="31" t="s">
        <v>91</v>
      </c>
      <c r="D45" s="38">
        <v>3</v>
      </c>
      <c r="E45" s="39" t="s">
        <v>61</v>
      </c>
      <c r="F45" s="33" t="str">
        <f>IF(E45="","",VLOOKUP(E45,'Base Datos'!$A$2:$M$150,2,FALSE))</f>
        <v>Tapa Lata 6 Colores</v>
      </c>
      <c r="G45" s="99">
        <v>29.7</v>
      </c>
      <c r="H45" s="102">
        <v>1153</v>
      </c>
      <c r="I45" s="32">
        <v>1</v>
      </c>
      <c r="J45" s="32">
        <v>31</v>
      </c>
      <c r="K45" s="31">
        <v>0</v>
      </c>
      <c r="L45" s="39">
        <v>184975</v>
      </c>
      <c r="M45" s="33">
        <f>IF(E45="","",VLOOKUP(E45,'Base Datos'!$A$2:$M$150,3,FALSE))</f>
        <v>30</v>
      </c>
      <c r="N45" s="23">
        <f>IF(E45="","",VLOOKUP(E45,'Base Datos'!$A$2:$M$150,4,FALSE))</f>
        <v>120</v>
      </c>
      <c r="O45" s="23">
        <f>IF(E45="","",VLOOKUP(E45,'Base Datos'!$A$2:$M$150,5,FALSE))</f>
        <v>30</v>
      </c>
      <c r="P45" s="23">
        <f>IF(E45="","",VLOOKUP(E45,'Base Datos'!$A$2:$M$150,6,FALSE))</f>
        <v>960</v>
      </c>
      <c r="Q45" s="23">
        <f>IF(E45="","",VLOOKUP(E45,'Base Datos'!$A$2:$M$150,7,FALSE))</f>
        <v>1</v>
      </c>
      <c r="R45" s="40">
        <f>IF(E45="","",VLOOKUP(E45,'Base Datos'!$A$2:$M$150,8,FALSE))</f>
        <v>20</v>
      </c>
      <c r="S45" s="40" t="str">
        <f>IF(E45="","",VLOOKUP(E45,'Base Datos'!$A$2:$M$150,9,FALSE))</f>
        <v>PP</v>
      </c>
      <c r="T45" s="33">
        <f>IF(E45="","",(H45*I45)-(J45+K45))</f>
        <v>1122</v>
      </c>
      <c r="U45" s="33">
        <f>IF(E45="","",(I45*R45)/1000)</f>
        <v>0.02</v>
      </c>
      <c r="V45" s="123">
        <f>IF(G45="",0,(G45*H45)/3600)</f>
        <v>9.5122499999999999</v>
      </c>
      <c r="W45" s="45">
        <f>IFERROR(IF(E45="","",(H45/P45)),0)</f>
        <v>1.2010416666666666</v>
      </c>
      <c r="X45" s="94">
        <f>WEEKDAY(A45,1)</f>
        <v>3</v>
      </c>
      <c r="Y45" s="120">
        <f>MONTH(A45)</f>
        <v>8</v>
      </c>
      <c r="Z45" s="125">
        <f>WEEKNUM(A45)-WEEKNUM(DATE(YEAR(A45),MONTH(A45),1))+1</f>
        <v>1</v>
      </c>
      <c r="AA45" s="126">
        <f>IF(V45="",0,V45/8)</f>
        <v>1.18903125</v>
      </c>
      <c r="AB45" s="125">
        <f>IF(E45="02PZ03405",0,1)</f>
        <v>1</v>
      </c>
    </row>
    <row r="46" spans="1:28" x14ac:dyDescent="0.2">
      <c r="A46" s="37">
        <v>44750</v>
      </c>
      <c r="B46" s="31" t="s">
        <v>86</v>
      </c>
      <c r="C46" s="31" t="s">
        <v>91</v>
      </c>
      <c r="D46" s="38">
        <v>5</v>
      </c>
      <c r="E46" s="39" t="s">
        <v>61</v>
      </c>
      <c r="F46" s="33" t="str">
        <f>IF(E46="","",VLOOKUP(E46,'Base Datos'!$A$2:$M$150,2,FALSE))</f>
        <v>Tapa Lata 6 Colores</v>
      </c>
      <c r="G46" s="99">
        <v>31</v>
      </c>
      <c r="H46" s="102">
        <v>555</v>
      </c>
      <c r="I46" s="32">
        <v>1</v>
      </c>
      <c r="J46" s="32">
        <v>0</v>
      </c>
      <c r="K46" s="31">
        <v>0</v>
      </c>
      <c r="L46" s="39">
        <v>184706</v>
      </c>
      <c r="M46" s="33">
        <f>IF(E46="","",VLOOKUP(E46,'Base Datos'!$A$2:$M$150,3,FALSE))</f>
        <v>30</v>
      </c>
      <c r="N46" s="23">
        <f>IF(E46="","",VLOOKUP(E46,'Base Datos'!$A$2:$M$150,4,FALSE))</f>
        <v>120</v>
      </c>
      <c r="O46" s="23">
        <f>IF(E46="","",VLOOKUP(E46,'Base Datos'!$A$2:$M$150,5,FALSE))</f>
        <v>30</v>
      </c>
      <c r="P46" s="23">
        <f>IF(E46="","",VLOOKUP(E46,'Base Datos'!$A$2:$M$150,6,FALSE))</f>
        <v>960</v>
      </c>
      <c r="Q46" s="23">
        <f>IF(E46="","",VLOOKUP(E46,'Base Datos'!$A$2:$M$150,7,FALSE))</f>
        <v>1</v>
      </c>
      <c r="R46" s="40">
        <f>IF(E46="","",VLOOKUP(E46,'Base Datos'!$A$2:$M$150,8,FALSE))</f>
        <v>20</v>
      </c>
      <c r="S46" s="40" t="str">
        <f>IF(E46="","",VLOOKUP(E46,'Base Datos'!$A$2:$M$150,9,FALSE))</f>
        <v>PP</v>
      </c>
      <c r="T46" s="33">
        <f>IF(E46="","",(H46*I46)-(J46+K46))</f>
        <v>555</v>
      </c>
      <c r="U46" s="33">
        <f>IF(E46="","",(I46*R46)/1000)</f>
        <v>0.02</v>
      </c>
      <c r="V46" s="123">
        <f>IF(G46="",0,(G46*H46)/3600)</f>
        <v>4.7791666666666668</v>
      </c>
      <c r="W46" s="45">
        <f>IFERROR(IF(E46="","",(H46/P46)),0)</f>
        <v>0.578125</v>
      </c>
      <c r="X46" s="94">
        <f>WEEKDAY(A46,1)</f>
        <v>6</v>
      </c>
      <c r="Y46" s="120">
        <f>MONTH(A46)</f>
        <v>7</v>
      </c>
      <c r="Z46" s="125">
        <f>WEEKNUM(A46)-WEEKNUM(DATE(YEAR(A46),MONTH(A46),1))+1</f>
        <v>2</v>
      </c>
      <c r="AA46" s="126">
        <f>IF(V46="",0,V46/8)</f>
        <v>0.59739583333333335</v>
      </c>
      <c r="AB46" s="125">
        <f>IF(E46="02PZ03405",0,1)</f>
        <v>1</v>
      </c>
    </row>
    <row r="47" spans="1:28" x14ac:dyDescent="0.2">
      <c r="A47" s="37">
        <v>44777</v>
      </c>
      <c r="B47" s="31" t="s">
        <v>86</v>
      </c>
      <c r="C47" s="31" t="s">
        <v>90</v>
      </c>
      <c r="D47" s="38">
        <v>3</v>
      </c>
      <c r="E47" s="39" t="s">
        <v>61</v>
      </c>
      <c r="F47" s="33" t="str">
        <f>IF(E47="","",VLOOKUP(E47,'Base Datos'!$A$2:$M$150,2,FALSE))</f>
        <v>Tapa Lata 6 Colores</v>
      </c>
      <c r="G47" s="99">
        <v>32.200000000000003</v>
      </c>
      <c r="H47" s="102">
        <v>177</v>
      </c>
      <c r="I47" s="32">
        <v>1</v>
      </c>
      <c r="J47" s="32">
        <v>0</v>
      </c>
      <c r="K47" s="31">
        <v>12</v>
      </c>
      <c r="L47" s="39">
        <v>184975</v>
      </c>
      <c r="M47" s="33">
        <f>IF(E47="","",VLOOKUP(E47,'Base Datos'!$A$2:$M$150,3,FALSE))</f>
        <v>30</v>
      </c>
      <c r="N47" s="23">
        <f>IF(E47="","",VLOOKUP(E47,'Base Datos'!$A$2:$M$150,4,FALSE))</f>
        <v>120</v>
      </c>
      <c r="O47" s="23">
        <f>IF(E47="","",VLOOKUP(E47,'Base Datos'!$A$2:$M$150,5,FALSE))</f>
        <v>30</v>
      </c>
      <c r="P47" s="23">
        <f>IF(E47="","",VLOOKUP(E47,'Base Datos'!$A$2:$M$150,6,FALSE))</f>
        <v>960</v>
      </c>
      <c r="Q47" s="23">
        <f>IF(E47="","",VLOOKUP(E47,'Base Datos'!$A$2:$M$150,7,FALSE))</f>
        <v>1</v>
      </c>
      <c r="R47" s="40">
        <f>IF(E47="","",VLOOKUP(E47,'Base Datos'!$A$2:$M$150,8,FALSE))</f>
        <v>20</v>
      </c>
      <c r="S47" s="40" t="str">
        <f>IF(E47="","",VLOOKUP(E47,'Base Datos'!$A$2:$M$150,9,FALSE))</f>
        <v>PP</v>
      </c>
      <c r="T47" s="33">
        <f>IF(E47="","",(H47*I47)-(J47+K47))</f>
        <v>165</v>
      </c>
      <c r="U47" s="33">
        <f>IF(E47="","",(I47*R47)/1000)</f>
        <v>0.02</v>
      </c>
      <c r="V47" s="123">
        <f>IF(G47="",0,(G47*H47)/3600)</f>
        <v>1.5831666666666668</v>
      </c>
      <c r="W47" s="45">
        <f>IFERROR(IF(E47="","",(H47/P47)),0)</f>
        <v>0.18437500000000001</v>
      </c>
      <c r="X47" s="23">
        <f>WEEKDAY(A47,1)</f>
        <v>5</v>
      </c>
      <c r="Y47" s="120">
        <f>MONTH(A47)</f>
        <v>8</v>
      </c>
      <c r="Z47" s="125">
        <f>WEEKNUM(A47)-WEEKNUM(DATE(YEAR(A47),MONTH(A47),1))+1</f>
        <v>1</v>
      </c>
      <c r="AA47" s="126">
        <f>IF(V47="",0,V47/8)</f>
        <v>0.19789583333333335</v>
      </c>
      <c r="AB47" s="125">
        <f>IF(E47="02PZ03405",0,1)</f>
        <v>1</v>
      </c>
    </row>
    <row r="48" spans="1:28" x14ac:dyDescent="0.2">
      <c r="A48" s="37">
        <v>44774</v>
      </c>
      <c r="B48" s="31" t="s">
        <v>86</v>
      </c>
      <c r="C48" s="31" t="s">
        <v>90</v>
      </c>
      <c r="D48" s="38">
        <v>3</v>
      </c>
      <c r="E48" s="39" t="s">
        <v>61</v>
      </c>
      <c r="F48" s="33" t="str">
        <f>IF(E48="","",VLOOKUP(E48,'Base Datos'!$A$2:$M$150,2,FALSE))</f>
        <v>Tapa Lata 6 Colores</v>
      </c>
      <c r="G48" s="99">
        <v>32.700000000000003</v>
      </c>
      <c r="H48" s="102">
        <v>790</v>
      </c>
      <c r="I48" s="32">
        <v>1</v>
      </c>
      <c r="J48" s="32">
        <v>0</v>
      </c>
      <c r="K48" s="31">
        <v>16</v>
      </c>
      <c r="L48" s="39">
        <v>184975</v>
      </c>
      <c r="M48" s="33">
        <f>IF(E48="","",VLOOKUP(E48,'Base Datos'!$A$2:$M$150,3,FALSE))</f>
        <v>30</v>
      </c>
      <c r="N48" s="23">
        <f>IF(E48="","",VLOOKUP(E48,'Base Datos'!$A$2:$M$150,4,FALSE))</f>
        <v>120</v>
      </c>
      <c r="O48" s="23">
        <f>IF(E48="","",VLOOKUP(E48,'Base Datos'!$A$2:$M$150,5,FALSE))</f>
        <v>30</v>
      </c>
      <c r="P48" s="23">
        <f>IF(E48="","",VLOOKUP(E48,'Base Datos'!$A$2:$M$150,6,FALSE))</f>
        <v>960</v>
      </c>
      <c r="Q48" s="23">
        <f>IF(E48="","",VLOOKUP(E48,'Base Datos'!$A$2:$M$150,7,FALSE))</f>
        <v>1</v>
      </c>
      <c r="R48" s="40">
        <f>IF(E48="","",VLOOKUP(E48,'Base Datos'!$A$2:$M$150,8,FALSE))</f>
        <v>20</v>
      </c>
      <c r="S48" s="40" t="str">
        <f>IF(E48="","",VLOOKUP(E48,'Base Datos'!$A$2:$M$150,9,FALSE))</f>
        <v>PP</v>
      </c>
      <c r="T48" s="33">
        <f>IF(E48="","",(H48*I48)-(J48+K48))</f>
        <v>774</v>
      </c>
      <c r="U48" s="33">
        <f>IF(E48="","",(I48*R48)/1000)</f>
        <v>0.02</v>
      </c>
      <c r="V48" s="123">
        <f>IF(G48="",0,(G48*H48)/3600)</f>
        <v>7.1758333333333342</v>
      </c>
      <c r="W48" s="45">
        <f>IFERROR(IF(E48="","",(H48/P48)),0)</f>
        <v>0.82291666666666663</v>
      </c>
      <c r="X48" s="94">
        <f>WEEKDAY(A48,1)</f>
        <v>2</v>
      </c>
      <c r="Y48" s="120">
        <f>MONTH(A48)</f>
        <v>8</v>
      </c>
      <c r="Z48" s="125">
        <f>WEEKNUM(A48)-WEEKNUM(DATE(YEAR(A48),MONTH(A48),1))+1</f>
        <v>1</v>
      </c>
      <c r="AA48" s="126">
        <f>IF(V48="",0,V48/8)</f>
        <v>0.89697916666666677</v>
      </c>
      <c r="AB48" s="125">
        <f>IF(E48="02PZ03405",0,1)</f>
        <v>1</v>
      </c>
    </row>
    <row r="49" spans="1:28" x14ac:dyDescent="0.2">
      <c r="A49" s="37">
        <v>44753</v>
      </c>
      <c r="B49" s="31" t="s">
        <v>34</v>
      </c>
      <c r="C49" s="31" t="s">
        <v>90</v>
      </c>
      <c r="D49" s="38">
        <v>5</v>
      </c>
      <c r="E49" s="39" t="s">
        <v>61</v>
      </c>
      <c r="F49" s="33" t="str">
        <f>IF(E49="","",VLOOKUP(E49,'Base Datos'!$A$2:$M$150,2,FALSE))</f>
        <v>Tapa Lata 6 Colores</v>
      </c>
      <c r="G49" s="32">
        <v>35.5</v>
      </c>
      <c r="H49" s="102">
        <v>374</v>
      </c>
      <c r="I49" s="32">
        <v>1</v>
      </c>
      <c r="J49" s="32">
        <v>0</v>
      </c>
      <c r="K49" s="31">
        <v>14</v>
      </c>
      <c r="L49" s="39">
        <v>184706</v>
      </c>
      <c r="M49" s="33">
        <f>IF(E49="","",VLOOKUP(E49,'Base Datos'!$A$2:$M$150,3,FALSE))</f>
        <v>30</v>
      </c>
      <c r="N49" s="23">
        <f>IF(E49="","",VLOOKUP(E49,'Base Datos'!$A$2:$M$150,4,FALSE))</f>
        <v>120</v>
      </c>
      <c r="O49" s="23">
        <f>IF(E49="","",VLOOKUP(E49,'Base Datos'!$A$2:$M$150,5,FALSE))</f>
        <v>30</v>
      </c>
      <c r="P49" s="23">
        <f>IF(E49="","",VLOOKUP(E49,'Base Datos'!$A$2:$M$150,6,FALSE))</f>
        <v>960</v>
      </c>
      <c r="Q49" s="23">
        <f>IF(E49="","",VLOOKUP(E49,'Base Datos'!$A$2:$M$150,7,FALSE))</f>
        <v>1</v>
      </c>
      <c r="R49" s="40">
        <f>IF(E49="","",VLOOKUP(E49,'Base Datos'!$A$2:$M$150,8,FALSE))</f>
        <v>20</v>
      </c>
      <c r="S49" s="40" t="str">
        <f>IF(E49="","",VLOOKUP(E49,'Base Datos'!$A$2:$M$150,9,FALSE))</f>
        <v>PP</v>
      </c>
      <c r="T49" s="33">
        <f>IF(E49="","",(H49*I49)-(J49+K49))</f>
        <v>360</v>
      </c>
      <c r="U49" s="33">
        <f>IF(E49="","",(I49*R49)/1000)</f>
        <v>0.02</v>
      </c>
      <c r="V49" s="123">
        <f>IF(G49="",0,(G49*H49)/3600)</f>
        <v>3.6880555555555556</v>
      </c>
      <c r="W49" s="45">
        <f>IFERROR(IF(E49="","",(H49/P49)),0)</f>
        <v>0.38958333333333334</v>
      </c>
      <c r="X49" s="94">
        <f>WEEKDAY(A49,1)</f>
        <v>2</v>
      </c>
      <c r="Y49" s="120">
        <f>MONTH(A49)</f>
        <v>7</v>
      </c>
      <c r="Z49" s="125">
        <f>WEEKNUM(A49)-WEEKNUM(DATE(YEAR(A49),MONTH(A49),1))+1</f>
        <v>3</v>
      </c>
      <c r="AA49" s="126">
        <f>IF(V49="",0,V49/8)</f>
        <v>0.46100694444444446</v>
      </c>
      <c r="AB49" s="125">
        <f>IF(E49="02PZ03405",0,1)</f>
        <v>1</v>
      </c>
    </row>
    <row r="50" spans="1:28" x14ac:dyDescent="0.2">
      <c r="A50" s="148">
        <v>44743</v>
      </c>
      <c r="B50" s="96" t="s">
        <v>86</v>
      </c>
      <c r="C50" s="96" t="s">
        <v>90</v>
      </c>
      <c r="D50" s="38">
        <v>5</v>
      </c>
      <c r="E50" s="39" t="s">
        <v>61</v>
      </c>
      <c r="F50" s="95" t="str">
        <f>IF(E50="","",VLOOKUP(E50,'Base Datos'!$A$2:$M$150,2,FALSE))</f>
        <v>Tapa Lata 6 Colores</v>
      </c>
      <c r="G50" s="99">
        <v>30</v>
      </c>
      <c r="H50" s="99">
        <v>866</v>
      </c>
      <c r="I50" s="99">
        <v>1</v>
      </c>
      <c r="J50" s="99"/>
      <c r="K50" s="39">
        <v>20</v>
      </c>
      <c r="L50" s="39">
        <v>184119</v>
      </c>
      <c r="M50" s="97">
        <f>IF(E50="","",VLOOKUP(E50,'Base Datos'!$A$2:$M$150,3,FALSE))</f>
        <v>30</v>
      </c>
      <c r="N50" s="40">
        <f>IF(E50="","",VLOOKUP(E50,'Base Datos'!$A$2:$M$150,4,FALSE))</f>
        <v>120</v>
      </c>
      <c r="O50" s="40">
        <f>IF(E50="","",VLOOKUP(E50,'Base Datos'!$A$2:$M$150,5,FALSE))</f>
        <v>30</v>
      </c>
      <c r="P50" s="40">
        <f>IF(E50="","",VLOOKUP(E50,'Base Datos'!$A$2:$M$150,6,FALSE))</f>
        <v>960</v>
      </c>
      <c r="Q50" s="40">
        <f>IF(E50="","",VLOOKUP(E50,'Base Datos'!$A$2:$M$150,7,FALSE))</f>
        <v>1</v>
      </c>
      <c r="R50" s="40">
        <f>IF(E50="","",VLOOKUP(E50,'Base Datos'!$A$2:$M$150,8,FALSE))</f>
        <v>20</v>
      </c>
      <c r="S50" s="40" t="str">
        <f>IF(E50="","",VLOOKUP(E50,'Base Datos'!$A$2:$M$150,9,FALSE))</f>
        <v>PP</v>
      </c>
      <c r="T50" s="97">
        <f>IF(E50="","",(H50*I50)-(J50+K50))</f>
        <v>846</v>
      </c>
      <c r="U50" s="98">
        <f>IF(E50="","",(H50*R50)/1000)</f>
        <v>17.32</v>
      </c>
      <c r="V50" s="123">
        <f>IF(G50="",0,(G50*H50)/3600)</f>
        <v>7.2166666666666668</v>
      </c>
      <c r="W50" s="45">
        <f>IFERROR(IF(E50="","",(H50/P50)),0)</f>
        <v>0.90208333333333335</v>
      </c>
      <c r="X50" s="94">
        <f>WEEKDAY(A50,1)</f>
        <v>6</v>
      </c>
      <c r="Y50" s="120">
        <f>MONTH(A50)</f>
        <v>7</v>
      </c>
      <c r="Z50" s="125">
        <f>WEEKNUM(A50)-WEEKNUM(DATE(YEAR(A50),MONTH(A50),1))+1</f>
        <v>1</v>
      </c>
      <c r="AA50" s="126">
        <f>IF(V50="",0,V50/8)</f>
        <v>0.90208333333333335</v>
      </c>
      <c r="AB50" s="125">
        <f>IF(E50="02PZ03405",0,1)</f>
        <v>1</v>
      </c>
    </row>
    <row r="51" spans="1:28" x14ac:dyDescent="0.2">
      <c r="A51" s="37">
        <v>44777</v>
      </c>
      <c r="B51" s="31" t="s">
        <v>34</v>
      </c>
      <c r="C51" s="31" t="s">
        <v>88</v>
      </c>
      <c r="D51" s="38">
        <v>3</v>
      </c>
      <c r="E51" s="39" t="s">
        <v>61</v>
      </c>
      <c r="F51" s="33" t="str">
        <f>IF(E51="","",VLOOKUP(E51,'Base Datos'!$A$2:$M$150,2,FALSE))</f>
        <v>Tapa Lata 6 Colores</v>
      </c>
      <c r="G51" s="99">
        <v>32</v>
      </c>
      <c r="H51" s="102">
        <v>960</v>
      </c>
      <c r="I51" s="32">
        <v>1</v>
      </c>
      <c r="J51" s="32"/>
      <c r="K51" s="31">
        <v>30</v>
      </c>
      <c r="L51" s="39">
        <v>184975</v>
      </c>
      <c r="M51" s="33">
        <f>IF(E51="","",VLOOKUP(E51,'Base Datos'!$A$2:$M$150,3,FALSE))</f>
        <v>30</v>
      </c>
      <c r="N51" s="23">
        <f>IF(E51="","",VLOOKUP(E51,'Base Datos'!$A$2:$M$150,4,FALSE))</f>
        <v>120</v>
      </c>
      <c r="O51" s="23">
        <f>IF(E51="","",VLOOKUP(E51,'Base Datos'!$A$2:$M$150,5,FALSE))</f>
        <v>30</v>
      </c>
      <c r="P51" s="23">
        <f>IF(E51="","",VLOOKUP(E51,'Base Datos'!$A$2:$M$150,6,FALSE))</f>
        <v>960</v>
      </c>
      <c r="Q51" s="23">
        <f>IF(E51="","",VLOOKUP(E51,'Base Datos'!$A$2:$M$150,7,FALSE))</f>
        <v>1</v>
      </c>
      <c r="R51" s="40">
        <f>IF(E51="","",VLOOKUP(E51,'Base Datos'!$A$2:$M$150,8,FALSE))</f>
        <v>20</v>
      </c>
      <c r="S51" s="40" t="str">
        <f>IF(E51="","",VLOOKUP(E51,'Base Datos'!$A$2:$M$150,9,FALSE))</f>
        <v>PP</v>
      </c>
      <c r="T51" s="33">
        <f>IF(E51="","",(H51*I51)-(J51+K51))</f>
        <v>930</v>
      </c>
      <c r="U51" s="33">
        <f>IF(E51="","",(I51*R51)/1000)</f>
        <v>0.02</v>
      </c>
      <c r="V51" s="123">
        <f>IF(G51="",0,(G51*H51)/3600)</f>
        <v>8.5333333333333332</v>
      </c>
      <c r="W51" s="45">
        <f>IFERROR(IF(E51="","",(H51/P51)),0)</f>
        <v>1</v>
      </c>
      <c r="X51" s="23">
        <f>WEEKDAY(A51,1)</f>
        <v>5</v>
      </c>
      <c r="Y51" s="120">
        <f>MONTH(A51)</f>
        <v>8</v>
      </c>
      <c r="Z51" s="125">
        <f>WEEKNUM(A51)-WEEKNUM(DATE(YEAR(A51),MONTH(A51),1))+1</f>
        <v>1</v>
      </c>
      <c r="AA51" s="126">
        <f>IF(V51="",0,V51/8)</f>
        <v>1.0666666666666667</v>
      </c>
      <c r="AB51" s="125">
        <f>IF(E51="02PZ03405",0,1)</f>
        <v>1</v>
      </c>
    </row>
    <row r="52" spans="1:28" x14ac:dyDescent="0.2">
      <c r="A52" s="37">
        <v>44776</v>
      </c>
      <c r="B52" s="31" t="s">
        <v>34</v>
      </c>
      <c r="C52" s="31" t="s">
        <v>88</v>
      </c>
      <c r="D52" s="38">
        <v>4</v>
      </c>
      <c r="E52" s="39" t="s">
        <v>61</v>
      </c>
      <c r="F52" s="33" t="str">
        <f>IF(E52="","",VLOOKUP(E52,'Base Datos'!$A$2:$M$150,2,FALSE))</f>
        <v>Tapa Lata 6 Colores</v>
      </c>
      <c r="G52" s="99">
        <v>31</v>
      </c>
      <c r="H52" s="102">
        <v>985</v>
      </c>
      <c r="I52" s="32">
        <v>1</v>
      </c>
      <c r="J52" s="32">
        <v>0</v>
      </c>
      <c r="K52" s="31">
        <v>0</v>
      </c>
      <c r="L52" s="39">
        <v>184975</v>
      </c>
      <c r="M52" s="33">
        <f>IF(E52="","",VLOOKUP(E52,'Base Datos'!$A$2:$M$150,3,FALSE))</f>
        <v>30</v>
      </c>
      <c r="N52" s="23">
        <f>IF(E52="","",VLOOKUP(E52,'Base Datos'!$A$2:$M$150,4,FALSE))</f>
        <v>120</v>
      </c>
      <c r="O52" s="23">
        <f>IF(E52="","",VLOOKUP(E52,'Base Datos'!$A$2:$M$150,5,FALSE))</f>
        <v>30</v>
      </c>
      <c r="P52" s="23">
        <f>IF(E52="","",VLOOKUP(E52,'Base Datos'!$A$2:$M$150,6,FALSE))</f>
        <v>960</v>
      </c>
      <c r="Q52" s="23">
        <f>IF(E52="","",VLOOKUP(E52,'Base Datos'!$A$2:$M$150,7,FALSE))</f>
        <v>1</v>
      </c>
      <c r="R52" s="40">
        <f>IF(E52="","",VLOOKUP(E52,'Base Datos'!$A$2:$M$150,8,FALSE))</f>
        <v>20</v>
      </c>
      <c r="S52" s="40" t="str">
        <f>IF(E52="","",VLOOKUP(E52,'Base Datos'!$A$2:$M$150,9,FALSE))</f>
        <v>PP</v>
      </c>
      <c r="T52" s="33">
        <f>IF(E52="","",(H52*I52)-(J52+K52))</f>
        <v>985</v>
      </c>
      <c r="U52" s="33">
        <f>IF(E52="","",(I52*R52)/1000)</f>
        <v>0.02</v>
      </c>
      <c r="V52" s="123">
        <f>IF(G52="",0,(G52*H52)/3600)</f>
        <v>8.4819444444444443</v>
      </c>
      <c r="W52" s="45">
        <f>IFERROR(IF(E52="","",(H52/P52)),0)</f>
        <v>1.0260416666666667</v>
      </c>
      <c r="X52" s="23">
        <f>WEEKDAY(A52,1)</f>
        <v>4</v>
      </c>
      <c r="Y52" s="120">
        <f>MONTH(A52)</f>
        <v>8</v>
      </c>
      <c r="Z52" s="125">
        <f>WEEKNUM(A52)-WEEKNUM(DATE(YEAR(A52),MONTH(A52),1))+1</f>
        <v>1</v>
      </c>
      <c r="AA52" s="126">
        <f>IF(V52="",0,V52/8)</f>
        <v>1.0602430555555555</v>
      </c>
      <c r="AB52" s="125">
        <f>IF(E52="02PZ03405",0,1)</f>
        <v>1</v>
      </c>
    </row>
    <row r="53" spans="1:28" x14ac:dyDescent="0.2">
      <c r="A53" s="37">
        <v>44775</v>
      </c>
      <c r="B53" s="31" t="s">
        <v>34</v>
      </c>
      <c r="C53" s="31" t="s">
        <v>88</v>
      </c>
      <c r="D53" s="38">
        <v>3</v>
      </c>
      <c r="E53" s="39" t="s">
        <v>61</v>
      </c>
      <c r="F53" s="33" t="str">
        <f>IF(E53="","",VLOOKUP(E53,'Base Datos'!$A$2:$M$150,2,FALSE))</f>
        <v>Tapa Lata 6 Colores</v>
      </c>
      <c r="G53" s="99">
        <v>30</v>
      </c>
      <c r="H53" s="102">
        <v>885</v>
      </c>
      <c r="I53" s="32">
        <v>1</v>
      </c>
      <c r="J53" s="32"/>
      <c r="K53" s="31">
        <v>10</v>
      </c>
      <c r="L53" s="39">
        <v>184975</v>
      </c>
      <c r="M53" s="33">
        <f>IF(E53="","",VLOOKUP(E53,'Base Datos'!$A$2:$M$150,3,FALSE))</f>
        <v>30</v>
      </c>
      <c r="N53" s="23">
        <f>IF(E53="","",VLOOKUP(E53,'Base Datos'!$A$2:$M$150,4,FALSE))</f>
        <v>120</v>
      </c>
      <c r="O53" s="23">
        <f>IF(E53="","",VLOOKUP(E53,'Base Datos'!$A$2:$M$150,5,FALSE))</f>
        <v>30</v>
      </c>
      <c r="P53" s="23">
        <f>IF(E53="","",VLOOKUP(E53,'Base Datos'!$A$2:$M$150,6,FALSE))</f>
        <v>960</v>
      </c>
      <c r="Q53" s="23">
        <f>IF(E53="","",VLOOKUP(E53,'Base Datos'!$A$2:$M$150,7,FALSE))</f>
        <v>1</v>
      </c>
      <c r="R53" s="40">
        <f>IF(E53="","",VLOOKUP(E53,'Base Datos'!$A$2:$M$150,8,FALSE))</f>
        <v>20</v>
      </c>
      <c r="S53" s="40" t="str">
        <f>IF(E53="","",VLOOKUP(E53,'Base Datos'!$A$2:$M$150,9,FALSE))</f>
        <v>PP</v>
      </c>
      <c r="T53" s="33">
        <f>IF(E53="","",(H53*I53)-(J53+K53))</f>
        <v>875</v>
      </c>
      <c r="U53" s="33">
        <f>IF(E53="","",(I53*R53)/1000)</f>
        <v>0.02</v>
      </c>
      <c r="V53" s="123">
        <f>IF(G53="",0,(G53*H53)/3600)</f>
        <v>7.375</v>
      </c>
      <c r="W53" s="45">
        <f>IFERROR(IF(E53="","",(H53/P53)),0)</f>
        <v>0.921875</v>
      </c>
      <c r="X53" s="94">
        <f>WEEKDAY(A53,1)</f>
        <v>3</v>
      </c>
      <c r="Y53" s="120">
        <f>MONTH(A53)</f>
        <v>8</v>
      </c>
      <c r="Z53" s="125">
        <f>WEEKNUM(A53)-WEEKNUM(DATE(YEAR(A53),MONTH(A53),1))+1</f>
        <v>1</v>
      </c>
      <c r="AA53" s="126">
        <f>IF(V53="",0,V53/8)</f>
        <v>0.921875</v>
      </c>
      <c r="AB53" s="125">
        <f>IF(E53="02PZ03405",0,1)</f>
        <v>1</v>
      </c>
    </row>
    <row r="54" spans="1:28" x14ac:dyDescent="0.2">
      <c r="A54" s="37">
        <v>44774</v>
      </c>
      <c r="B54" s="31" t="s">
        <v>34</v>
      </c>
      <c r="C54" s="31" t="s">
        <v>88</v>
      </c>
      <c r="D54" s="38">
        <v>3</v>
      </c>
      <c r="E54" s="39" t="s">
        <v>61</v>
      </c>
      <c r="F54" s="33" t="str">
        <f>IF(E54="","",VLOOKUP(E54,'Base Datos'!$A$2:$M$150,2,FALSE))</f>
        <v>Tapa Lata 6 Colores</v>
      </c>
      <c r="G54" s="99">
        <v>29</v>
      </c>
      <c r="H54" s="102">
        <v>800</v>
      </c>
      <c r="I54" s="32">
        <v>1</v>
      </c>
      <c r="J54" s="32"/>
      <c r="K54" s="31"/>
      <c r="L54" s="39">
        <v>184975</v>
      </c>
      <c r="M54" s="33">
        <f>IF(E54="","",VLOOKUP(E54,'Base Datos'!$A$2:$M$150,3,FALSE))</f>
        <v>30</v>
      </c>
      <c r="N54" s="23">
        <f>IF(E54="","",VLOOKUP(E54,'Base Datos'!$A$2:$M$150,4,FALSE))</f>
        <v>120</v>
      </c>
      <c r="O54" s="23">
        <f>IF(E54="","",VLOOKUP(E54,'Base Datos'!$A$2:$M$150,5,FALSE))</f>
        <v>30</v>
      </c>
      <c r="P54" s="23">
        <f>IF(E54="","",VLOOKUP(E54,'Base Datos'!$A$2:$M$150,6,FALSE))</f>
        <v>960</v>
      </c>
      <c r="Q54" s="23">
        <f>IF(E54="","",VLOOKUP(E54,'Base Datos'!$A$2:$M$150,7,FALSE))</f>
        <v>1</v>
      </c>
      <c r="R54" s="40">
        <f>IF(E54="","",VLOOKUP(E54,'Base Datos'!$A$2:$M$150,8,FALSE))</f>
        <v>20</v>
      </c>
      <c r="S54" s="40" t="str">
        <f>IF(E54="","",VLOOKUP(E54,'Base Datos'!$A$2:$M$150,9,FALSE))</f>
        <v>PP</v>
      </c>
      <c r="T54" s="33">
        <f>IF(E54="","",(H54*I54)-(J54+K54))</f>
        <v>800</v>
      </c>
      <c r="U54" s="33">
        <f>IF(E54="","",(I54*R54)/1000)</f>
        <v>0.02</v>
      </c>
      <c r="V54" s="123">
        <f>IF(G54="",0,(G54*H54)/3600)</f>
        <v>6.4444444444444446</v>
      </c>
      <c r="W54" s="45">
        <f>IFERROR(IF(E54="","",(H54/P54)),0)</f>
        <v>0.83333333333333337</v>
      </c>
      <c r="X54" s="94">
        <f>WEEKDAY(A54,1)</f>
        <v>2</v>
      </c>
      <c r="Y54" s="120">
        <f>MONTH(A54)</f>
        <v>8</v>
      </c>
      <c r="Z54" s="125">
        <f>WEEKNUM(A54)-WEEKNUM(DATE(YEAR(A54),MONTH(A54),1))+1</f>
        <v>1</v>
      </c>
      <c r="AA54" s="126">
        <f>IF(V54="",0,V54/8)</f>
        <v>0.80555555555555558</v>
      </c>
      <c r="AB54" s="125">
        <f>IF(E54="02PZ03405",0,1)</f>
        <v>1</v>
      </c>
    </row>
    <row r="55" spans="1:28" x14ac:dyDescent="0.2">
      <c r="A55" s="37">
        <v>44771</v>
      </c>
      <c r="B55" s="31" t="s">
        <v>34</v>
      </c>
      <c r="C55" s="31" t="s">
        <v>88</v>
      </c>
      <c r="D55" s="38">
        <v>3</v>
      </c>
      <c r="E55" s="39" t="s">
        <v>61</v>
      </c>
      <c r="F55" s="33" t="s">
        <v>38</v>
      </c>
      <c r="G55" s="99">
        <v>28</v>
      </c>
      <c r="H55" s="102">
        <v>1100</v>
      </c>
      <c r="I55" s="32">
        <v>1</v>
      </c>
      <c r="J55" s="32"/>
      <c r="K55" s="31">
        <v>30</v>
      </c>
      <c r="L55" s="39">
        <v>184975</v>
      </c>
      <c r="M55" s="33">
        <f>IF(E55="","",VLOOKUP(E55,'Base Datos'!$A$2:$M$150,3,FALSE))</f>
        <v>30</v>
      </c>
      <c r="N55" s="23">
        <f>IF(E55="","",VLOOKUP(E55,'Base Datos'!$A$2:$M$150,4,FALSE))</f>
        <v>120</v>
      </c>
      <c r="O55" s="23">
        <f>IF(E55="","",VLOOKUP(E55,'Base Datos'!$A$2:$M$150,5,FALSE))</f>
        <v>30</v>
      </c>
      <c r="P55" s="23">
        <f>IF(E55="","",VLOOKUP(E55,'Base Datos'!$A$2:$M$150,6,FALSE))</f>
        <v>960</v>
      </c>
      <c r="Q55" s="23">
        <f>IF(E55="","",VLOOKUP(E55,'Base Datos'!$A$2:$M$150,7,FALSE))</f>
        <v>1</v>
      </c>
      <c r="R55" s="40">
        <f>IF(E55="","",VLOOKUP(E55,'Base Datos'!$A$2:$M$150,8,FALSE))</f>
        <v>20</v>
      </c>
      <c r="S55" s="40" t="str">
        <f>IF(E55="","",VLOOKUP(E55,'Base Datos'!$A$2:$M$150,9,FALSE))</f>
        <v>PP</v>
      </c>
      <c r="T55" s="33">
        <f>IF(E55="","",(H55*I55)-(J55+K55))</f>
        <v>1070</v>
      </c>
      <c r="U55" s="33">
        <f>IF(E55="","",(I55*R55)/1000)</f>
        <v>0.02</v>
      </c>
      <c r="V55" s="123">
        <f>IF(G55="",0,(G55*H55)/3600)</f>
        <v>8.5555555555555554</v>
      </c>
      <c r="W55" s="45">
        <f>IFERROR(IF(E55="","",(H55/P55)),0)</f>
        <v>1.1458333333333333</v>
      </c>
      <c r="X55" s="94">
        <f>WEEKDAY(A55,1)</f>
        <v>6</v>
      </c>
      <c r="Y55" s="120">
        <f>MONTH(A55)</f>
        <v>7</v>
      </c>
      <c r="Z55" s="125">
        <f>WEEKNUM(A55)-WEEKNUM(DATE(YEAR(A55),MONTH(A55),1))+1</f>
        <v>5</v>
      </c>
      <c r="AA55" s="126">
        <f>IF(V55="",0,V55/8)</f>
        <v>1.0694444444444444</v>
      </c>
      <c r="AB55" s="125">
        <f>IF(E55="02PZ03405",0,1)</f>
        <v>1</v>
      </c>
    </row>
    <row r="56" spans="1:28" x14ac:dyDescent="0.2">
      <c r="A56" s="37">
        <v>44770</v>
      </c>
      <c r="B56" s="31" t="s">
        <v>86</v>
      </c>
      <c r="C56" s="31" t="s">
        <v>88</v>
      </c>
      <c r="D56" s="38">
        <v>3</v>
      </c>
      <c r="E56" s="39" t="s">
        <v>61</v>
      </c>
      <c r="F56" s="33" t="str">
        <f>IF(E56="","",VLOOKUP(E56,'Base Datos'!$A$2:$M$150,2,FALSE))</f>
        <v>Tapa Lata 6 Colores</v>
      </c>
      <c r="G56" s="99">
        <v>29.5</v>
      </c>
      <c r="H56" s="102">
        <v>1166</v>
      </c>
      <c r="I56" s="32">
        <v>1</v>
      </c>
      <c r="J56" s="32"/>
      <c r="K56" s="31">
        <v>17</v>
      </c>
      <c r="L56" s="39">
        <v>184975</v>
      </c>
      <c r="M56" s="33">
        <f>IF(E56="","",VLOOKUP(E56,'Base Datos'!$A$2:$M$150,3,FALSE))</f>
        <v>30</v>
      </c>
      <c r="N56" s="23">
        <f>IF(E56="","",VLOOKUP(E56,'Base Datos'!$A$2:$M$150,4,FALSE))</f>
        <v>120</v>
      </c>
      <c r="O56" s="23">
        <f>IF(E56="","",VLOOKUP(E56,'Base Datos'!$A$2:$M$150,5,FALSE))</f>
        <v>30</v>
      </c>
      <c r="P56" s="23">
        <f>IF(E56="","",VLOOKUP(E56,'Base Datos'!$A$2:$M$150,6,FALSE))</f>
        <v>960</v>
      </c>
      <c r="Q56" s="23">
        <f>IF(E56="","",VLOOKUP(E56,'Base Datos'!$A$2:$M$150,7,FALSE))</f>
        <v>1</v>
      </c>
      <c r="R56" s="40">
        <f>IF(E56="","",VLOOKUP(E56,'Base Datos'!$A$2:$M$150,8,FALSE))</f>
        <v>20</v>
      </c>
      <c r="S56" s="40" t="str">
        <f>IF(E56="","",VLOOKUP(E56,'Base Datos'!$A$2:$M$150,9,FALSE))</f>
        <v>PP</v>
      </c>
      <c r="T56" s="33">
        <f>IF(E56="","",(H56*I56)-(J56+K56))</f>
        <v>1149</v>
      </c>
      <c r="U56" s="33">
        <f>IF(E56="","",(I56*R56)/1000)</f>
        <v>0.02</v>
      </c>
      <c r="V56" s="123">
        <f>IF(G56="",0,(G56*H56)/3600)</f>
        <v>9.5547222222222228</v>
      </c>
      <c r="W56" s="45">
        <f>IFERROR(IF(E56="","",(H56/P56)),0)</f>
        <v>1.2145833333333333</v>
      </c>
      <c r="X56" s="94">
        <f>WEEKDAY(A56,1)</f>
        <v>5</v>
      </c>
      <c r="Y56" s="120">
        <f>MONTH(A56)</f>
        <v>7</v>
      </c>
      <c r="Z56" s="125">
        <f>WEEKNUM(A56)-WEEKNUM(DATE(YEAR(A56),MONTH(A56),1))+1</f>
        <v>5</v>
      </c>
      <c r="AA56" s="126">
        <f>IF(V56="",0,V56/8)</f>
        <v>1.1943402777777778</v>
      </c>
      <c r="AB56" s="125">
        <f>IF(E56="02PZ03405",0,1)</f>
        <v>1</v>
      </c>
    </row>
    <row r="57" spans="1:28" x14ac:dyDescent="0.2">
      <c r="A57" s="37">
        <v>44770</v>
      </c>
      <c r="B57" s="31" t="s">
        <v>34</v>
      </c>
      <c r="C57" s="31" t="s">
        <v>88</v>
      </c>
      <c r="D57" s="38">
        <v>3</v>
      </c>
      <c r="E57" s="39" t="s">
        <v>61</v>
      </c>
      <c r="F57" s="33" t="str">
        <f>IF(E57="","",VLOOKUP(E57,'Base Datos'!$A$2:$M$150,2,FALSE))</f>
        <v>Tapa Lata 6 Colores</v>
      </c>
      <c r="G57" s="99">
        <v>29</v>
      </c>
      <c r="H57" s="102">
        <v>1020</v>
      </c>
      <c r="I57" s="32">
        <v>1</v>
      </c>
      <c r="J57" s="32"/>
      <c r="K57" s="31">
        <v>50</v>
      </c>
      <c r="L57" s="39">
        <v>184975</v>
      </c>
      <c r="M57" s="33">
        <f>IF(E57="","",VLOOKUP(E57,'Base Datos'!$A$2:$M$150,3,FALSE))</f>
        <v>30</v>
      </c>
      <c r="N57" s="23">
        <f>IF(E57="","",VLOOKUP(E57,'Base Datos'!$A$2:$M$150,4,FALSE))</f>
        <v>120</v>
      </c>
      <c r="O57" s="23">
        <f>IF(E57="","",VLOOKUP(E57,'Base Datos'!$A$2:$M$150,5,FALSE))</f>
        <v>30</v>
      </c>
      <c r="P57" s="23">
        <f>IF(E57="","",VLOOKUP(E57,'Base Datos'!$A$2:$M$150,6,FALSE))</f>
        <v>960</v>
      </c>
      <c r="Q57" s="23">
        <f>IF(E57="","",VLOOKUP(E57,'Base Datos'!$A$2:$M$150,7,FALSE))</f>
        <v>1</v>
      </c>
      <c r="R57" s="40">
        <f>IF(E57="","",VLOOKUP(E57,'Base Datos'!$A$2:$M$150,8,FALSE))</f>
        <v>20</v>
      </c>
      <c r="S57" s="40" t="str">
        <f>IF(E57="","",VLOOKUP(E57,'Base Datos'!$A$2:$M$150,9,FALSE))</f>
        <v>PP</v>
      </c>
      <c r="T57" s="33">
        <f>IF(E57="","",(H57*I57)-(J57+K57))</f>
        <v>970</v>
      </c>
      <c r="U57" s="33">
        <f>IF(E57="","",(I57*R57)/1000)</f>
        <v>0.02</v>
      </c>
      <c r="V57" s="123">
        <f>IF(G57="",0,(G57*H57)/3600)</f>
        <v>8.2166666666666668</v>
      </c>
      <c r="W57" s="45">
        <f>IFERROR(IF(E57="","",(H57/P57)),0)</f>
        <v>1.0625</v>
      </c>
      <c r="X57" s="94">
        <f>WEEKDAY(A57,1)</f>
        <v>5</v>
      </c>
      <c r="Y57" s="120">
        <f>MONTH(A57)</f>
        <v>7</v>
      </c>
      <c r="Z57" s="125">
        <f>WEEKNUM(A57)-WEEKNUM(DATE(YEAR(A57),MONTH(A57),1))+1</f>
        <v>5</v>
      </c>
      <c r="AA57" s="126">
        <f>IF(V57="",0,V57/8)</f>
        <v>1.0270833333333333</v>
      </c>
      <c r="AB57" s="125">
        <f>IF(E57="02PZ03405",0,1)</f>
        <v>1</v>
      </c>
    </row>
    <row r="58" spans="1:28" x14ac:dyDescent="0.2">
      <c r="A58" s="37">
        <v>44754</v>
      </c>
      <c r="B58" s="31" t="s">
        <v>34</v>
      </c>
      <c r="C58" s="31" t="s">
        <v>88</v>
      </c>
      <c r="D58" s="38">
        <v>5</v>
      </c>
      <c r="E58" s="39" t="s">
        <v>61</v>
      </c>
      <c r="F58" s="33" t="str">
        <f>IF(E58="","",VLOOKUP(E58,'Base Datos'!$A$2:$M$150,2,FALSE))</f>
        <v>Tapa Lata 6 Colores</v>
      </c>
      <c r="G58" s="32">
        <v>37.5</v>
      </c>
      <c r="H58" s="102">
        <v>875</v>
      </c>
      <c r="I58" s="32">
        <v>1</v>
      </c>
      <c r="J58" s="32"/>
      <c r="K58" s="31">
        <v>25</v>
      </c>
      <c r="L58" s="39">
        <v>184706</v>
      </c>
      <c r="M58" s="33">
        <f>IF(E58="","",VLOOKUP(E58,'Base Datos'!$A$2:$M$150,3,FALSE))</f>
        <v>30</v>
      </c>
      <c r="N58" s="23">
        <f>IF(E58="","",VLOOKUP(E58,'Base Datos'!$A$2:$M$150,4,FALSE))</f>
        <v>120</v>
      </c>
      <c r="O58" s="23">
        <f>IF(E58="","",VLOOKUP(E58,'Base Datos'!$A$2:$M$150,5,FALSE))</f>
        <v>30</v>
      </c>
      <c r="P58" s="23">
        <f>IF(E58="","",VLOOKUP(E58,'Base Datos'!$A$2:$M$150,6,FALSE))</f>
        <v>960</v>
      </c>
      <c r="Q58" s="23">
        <f>IF(E58="","",VLOOKUP(E58,'Base Datos'!$A$2:$M$150,7,FALSE))</f>
        <v>1</v>
      </c>
      <c r="R58" s="40">
        <f>IF(E58="","",VLOOKUP(E58,'Base Datos'!$A$2:$M$150,8,FALSE))</f>
        <v>20</v>
      </c>
      <c r="S58" s="40" t="str">
        <f>IF(E58="","",VLOOKUP(E58,'Base Datos'!$A$2:$M$150,9,FALSE))</f>
        <v>PP</v>
      </c>
      <c r="T58" s="33">
        <f>IF(E58="","",(H58*I58)-(J58+K58))</f>
        <v>850</v>
      </c>
      <c r="U58" s="33">
        <f>IF(E58="","",(I58*R58)/1000)</f>
        <v>0.02</v>
      </c>
      <c r="V58" s="123">
        <f>IF(G58="",0,(G58*H58)/3600)</f>
        <v>9.1145833333333339</v>
      </c>
      <c r="W58" s="45">
        <f>IFERROR(IF(E58="","",(H58/P58)),0)</f>
        <v>0.91145833333333337</v>
      </c>
      <c r="X58" s="94">
        <f>WEEKDAY(A58,1)</f>
        <v>3</v>
      </c>
      <c r="Y58" s="120">
        <f>MONTH(A58)</f>
        <v>7</v>
      </c>
      <c r="Z58" s="125">
        <f>WEEKNUM(A58)-WEEKNUM(DATE(YEAR(A58),MONTH(A58),1))+1</f>
        <v>3</v>
      </c>
      <c r="AA58" s="126">
        <f>IF(V58="",0,V58/8)</f>
        <v>1.1393229166666667</v>
      </c>
      <c r="AB58" s="125">
        <f>IF(E58="02PZ03405",0,1)</f>
        <v>1</v>
      </c>
    </row>
    <row r="59" spans="1:28" x14ac:dyDescent="0.2">
      <c r="A59" s="148">
        <v>44746</v>
      </c>
      <c r="B59" s="96" t="s">
        <v>34</v>
      </c>
      <c r="C59" s="96" t="s">
        <v>88</v>
      </c>
      <c r="D59" s="38">
        <v>5</v>
      </c>
      <c r="E59" s="39" t="s">
        <v>61</v>
      </c>
      <c r="F59" s="95" t="str">
        <f>IF(E59="","",VLOOKUP(E59,'Base Datos'!$A$2:$M$150,2,FALSE))</f>
        <v>Tapa Lata 6 Colores</v>
      </c>
      <c r="G59" s="99">
        <v>31.3</v>
      </c>
      <c r="H59" s="99">
        <v>765</v>
      </c>
      <c r="I59" s="99">
        <v>1</v>
      </c>
      <c r="J59" s="99"/>
      <c r="K59" s="39">
        <v>35</v>
      </c>
      <c r="L59" s="39">
        <v>183471</v>
      </c>
      <c r="M59" s="97">
        <f>IF(E59="","",VLOOKUP(E59,'Base Datos'!$A$2:$M$150,3,FALSE))</f>
        <v>30</v>
      </c>
      <c r="N59" s="40">
        <f>IF(E59="","",VLOOKUP(E59,'Base Datos'!$A$2:$M$150,4,FALSE))</f>
        <v>120</v>
      </c>
      <c r="O59" s="40">
        <f>IF(E59="","",VLOOKUP(E59,'Base Datos'!$A$2:$M$150,5,FALSE))</f>
        <v>30</v>
      </c>
      <c r="P59" s="40">
        <f>IF(E59="","",VLOOKUP(E59,'Base Datos'!$A$2:$M$150,6,FALSE))</f>
        <v>960</v>
      </c>
      <c r="Q59" s="40">
        <f>IF(E59="","",VLOOKUP(E59,'Base Datos'!$A$2:$M$150,7,FALSE))</f>
        <v>1</v>
      </c>
      <c r="R59" s="40">
        <f>IF(E59="","",VLOOKUP(E59,'Base Datos'!$A$2:$M$150,8,FALSE))</f>
        <v>20</v>
      </c>
      <c r="S59" s="40" t="str">
        <f>IF(E59="","",VLOOKUP(E59,'Base Datos'!$A$2:$M$150,9,FALSE))</f>
        <v>PP</v>
      </c>
      <c r="T59" s="97">
        <f>IF(E59="","",(H59*I59)-(J59+K59))</f>
        <v>730</v>
      </c>
      <c r="U59" s="98">
        <f>IF(E59="","",(H59*R59)/1000)</f>
        <v>15.3</v>
      </c>
      <c r="V59" s="123">
        <f>IF(G59="",0,(G59*H59)/3600)</f>
        <v>6.6512500000000001</v>
      </c>
      <c r="W59" s="45">
        <f>IFERROR(IF(E59="","",(H59/P59)),0)</f>
        <v>0.796875</v>
      </c>
      <c r="X59" s="94">
        <f>WEEKDAY(A59,1)</f>
        <v>2</v>
      </c>
      <c r="Y59" s="120">
        <f>MONTH(A59)</f>
        <v>7</v>
      </c>
      <c r="Z59" s="125">
        <f>WEEKNUM(A59)-WEEKNUM(DATE(YEAR(A59),MONTH(A59),1))+1</f>
        <v>2</v>
      </c>
      <c r="AA59" s="126">
        <f>IF(V59="",0,V59/8)</f>
        <v>0.83140625000000001</v>
      </c>
      <c r="AB59" s="125">
        <f>IF(E59="02PZ03405",0,1)</f>
        <v>1</v>
      </c>
    </row>
    <row r="60" spans="1:28" x14ac:dyDescent="0.2">
      <c r="A60" s="148">
        <v>44743</v>
      </c>
      <c r="B60" s="96" t="s">
        <v>34</v>
      </c>
      <c r="C60" s="96" t="s">
        <v>88</v>
      </c>
      <c r="D60" s="38">
        <v>5</v>
      </c>
      <c r="E60" s="39" t="s">
        <v>61</v>
      </c>
      <c r="F60" s="95" t="str">
        <f>IF(E60="","",VLOOKUP(E60,'Base Datos'!$A$2:$M$150,2,FALSE))</f>
        <v>Tapa Lata 6 Colores</v>
      </c>
      <c r="G60" s="99">
        <v>22</v>
      </c>
      <c r="H60" s="99">
        <v>1129</v>
      </c>
      <c r="I60" s="99">
        <v>1</v>
      </c>
      <c r="J60" s="99"/>
      <c r="K60" s="39">
        <v>30</v>
      </c>
      <c r="L60" s="39">
        <v>184119</v>
      </c>
      <c r="M60" s="97">
        <f>IF(E60="","",VLOOKUP(E60,'Base Datos'!$A$2:$M$150,3,FALSE))</f>
        <v>30</v>
      </c>
      <c r="N60" s="40">
        <f>IF(E60="","",VLOOKUP(E60,'Base Datos'!$A$2:$M$150,4,FALSE))</f>
        <v>120</v>
      </c>
      <c r="O60" s="40">
        <f>IF(E60="","",VLOOKUP(E60,'Base Datos'!$A$2:$M$150,5,FALSE))</f>
        <v>30</v>
      </c>
      <c r="P60" s="40">
        <f>IF(E60="","",VLOOKUP(E60,'Base Datos'!$A$2:$M$150,6,FALSE))</f>
        <v>960</v>
      </c>
      <c r="Q60" s="40">
        <f>IF(E60="","",VLOOKUP(E60,'Base Datos'!$A$2:$M$150,7,FALSE))</f>
        <v>1</v>
      </c>
      <c r="R60" s="40">
        <f>IF(E60="","",VLOOKUP(E60,'Base Datos'!$A$2:$M$150,8,FALSE))</f>
        <v>20</v>
      </c>
      <c r="S60" s="40" t="str">
        <f>IF(E60="","",VLOOKUP(E60,'Base Datos'!$A$2:$M$150,9,FALSE))</f>
        <v>PP</v>
      </c>
      <c r="T60" s="97">
        <f>IF(E60="","",(H60*I60)-(J60+K60))</f>
        <v>1099</v>
      </c>
      <c r="U60" s="98">
        <f>IF(E60="","",(H60*R60)/1000)</f>
        <v>22.58</v>
      </c>
      <c r="V60" s="123">
        <f>IF(G60="",0,(G60*H60)/3600)</f>
        <v>6.8994444444444447</v>
      </c>
      <c r="W60" s="45">
        <f>IFERROR(IF(E60="","",(H60/P60)),0)</f>
        <v>1.1760416666666667</v>
      </c>
      <c r="X60" s="94">
        <f>WEEKDAY(A60,1)</f>
        <v>6</v>
      </c>
      <c r="Y60" s="120">
        <f>MONTH(A60)</f>
        <v>7</v>
      </c>
      <c r="Z60" s="125">
        <f>WEEKNUM(A60)-WEEKNUM(DATE(YEAR(A60),MONTH(A60),1))+1</f>
        <v>1</v>
      </c>
      <c r="AA60" s="126">
        <f>IF(V60="",0,V60/8)</f>
        <v>0.86243055555555559</v>
      </c>
      <c r="AB60" s="125">
        <f>IF(E60="02PZ03405",0,1)</f>
        <v>1</v>
      </c>
    </row>
    <row r="61" spans="1:28" x14ac:dyDescent="0.2">
      <c r="A61" s="37">
        <v>44771</v>
      </c>
      <c r="B61" s="31" t="s">
        <v>86</v>
      </c>
      <c r="C61" s="31" t="s">
        <v>110</v>
      </c>
      <c r="D61" s="38">
        <v>3</v>
      </c>
      <c r="E61" s="39" t="s">
        <v>61</v>
      </c>
      <c r="F61" s="33" t="str">
        <f>IF(E61="","",VLOOKUP(E61,'Base Datos'!$A$2:$M$150,2,FALSE))</f>
        <v>Tapa Lata 6 Colores</v>
      </c>
      <c r="G61" s="99">
        <v>28</v>
      </c>
      <c r="H61" s="102">
        <v>179</v>
      </c>
      <c r="I61" s="32">
        <v>1</v>
      </c>
      <c r="J61" s="32"/>
      <c r="K61" s="31">
        <v>15</v>
      </c>
      <c r="L61" s="39">
        <v>184975</v>
      </c>
      <c r="M61" s="33">
        <f>IF(E61="","",VLOOKUP(E61,'Base Datos'!$A$2:$M$150,3,FALSE))</f>
        <v>30</v>
      </c>
      <c r="N61" s="23">
        <f>IF(E61="","",VLOOKUP(E61,'Base Datos'!$A$2:$M$150,4,FALSE))</f>
        <v>120</v>
      </c>
      <c r="O61" s="23">
        <f>IF(E61="","",VLOOKUP(E61,'Base Datos'!$A$2:$M$150,5,FALSE))</f>
        <v>30</v>
      </c>
      <c r="P61" s="23">
        <f>IF(E61="","",VLOOKUP(E61,'Base Datos'!$A$2:$M$150,6,FALSE))</f>
        <v>960</v>
      </c>
      <c r="Q61" s="23">
        <f>IF(E61="","",VLOOKUP(E61,'Base Datos'!$A$2:$M$150,7,FALSE))</f>
        <v>1</v>
      </c>
      <c r="R61" s="40">
        <f>IF(E61="","",VLOOKUP(E61,'Base Datos'!$A$2:$M$150,8,FALSE))</f>
        <v>20</v>
      </c>
      <c r="S61" s="40" t="str">
        <f>IF(E61="","",VLOOKUP(E61,'Base Datos'!$A$2:$M$150,9,FALSE))</f>
        <v>PP</v>
      </c>
      <c r="T61" s="33">
        <f>IF(E61="","",(H61*I61)-(J61+K61))</f>
        <v>164</v>
      </c>
      <c r="U61" s="33">
        <f>IF(E61="","",(I61*R61)/1000)</f>
        <v>0.02</v>
      </c>
      <c r="V61" s="123">
        <f>IF(G61="",0,(G61*H61)/3600)</f>
        <v>1.3922222222222222</v>
      </c>
      <c r="W61" s="45">
        <f>IFERROR(IF(E61="","",(H61/P61)),0)</f>
        <v>0.18645833333333334</v>
      </c>
      <c r="X61" s="94">
        <f>WEEKDAY(A61,1)</f>
        <v>6</v>
      </c>
      <c r="Y61" s="120">
        <f>MONTH(A61)</f>
        <v>7</v>
      </c>
      <c r="Z61" s="125">
        <f>WEEKNUM(A61)-WEEKNUM(DATE(YEAR(A61),MONTH(A61),1))+1</f>
        <v>5</v>
      </c>
      <c r="AA61" s="126">
        <f>IF(V61="",0,V61/8)</f>
        <v>0.17402777777777778</v>
      </c>
      <c r="AB61" s="125">
        <f>IF(E61="02PZ03405",0,1)</f>
        <v>1</v>
      </c>
    </row>
    <row r="62" spans="1:28" x14ac:dyDescent="0.2">
      <c r="A62" s="37">
        <v>44777</v>
      </c>
      <c r="B62" s="31" t="s">
        <v>87</v>
      </c>
      <c r="C62" s="31" t="s">
        <v>93</v>
      </c>
      <c r="D62" s="38">
        <v>3</v>
      </c>
      <c r="E62" s="39" t="s">
        <v>61</v>
      </c>
      <c r="F62" s="33" t="str">
        <f>IF(E62="","",VLOOKUP(E62,'Base Datos'!$A$2:$M$150,2,FALSE))</f>
        <v>Tapa Lata 6 Colores</v>
      </c>
      <c r="G62" s="99">
        <v>24.3</v>
      </c>
      <c r="H62" s="102">
        <v>610</v>
      </c>
      <c r="I62" s="32">
        <v>1</v>
      </c>
      <c r="J62" s="32"/>
      <c r="K62" s="31">
        <v>9</v>
      </c>
      <c r="L62" s="39">
        <v>184975</v>
      </c>
      <c r="M62" s="33">
        <f>IF(E62="","",VLOOKUP(E62,'Base Datos'!$A$2:$M$150,3,FALSE))</f>
        <v>30</v>
      </c>
      <c r="N62" s="23">
        <f>IF(E62="","",VLOOKUP(E62,'Base Datos'!$A$2:$M$150,4,FALSE))</f>
        <v>120</v>
      </c>
      <c r="O62" s="23">
        <f>IF(E62="","",VLOOKUP(E62,'Base Datos'!$A$2:$M$150,5,FALSE))</f>
        <v>30</v>
      </c>
      <c r="P62" s="23">
        <f>IF(E62="","",VLOOKUP(E62,'Base Datos'!$A$2:$M$150,6,FALSE))</f>
        <v>960</v>
      </c>
      <c r="Q62" s="23">
        <f>IF(E62="","",VLOOKUP(E62,'Base Datos'!$A$2:$M$150,7,FALSE))</f>
        <v>1</v>
      </c>
      <c r="R62" s="40">
        <f>IF(E62="","",VLOOKUP(E62,'Base Datos'!$A$2:$M$150,8,FALSE))</f>
        <v>20</v>
      </c>
      <c r="S62" s="40" t="str">
        <f>IF(E62="","",VLOOKUP(E62,'Base Datos'!$A$2:$M$150,9,FALSE))</f>
        <v>PP</v>
      </c>
      <c r="T62" s="33">
        <f>IF(E62="","",(H62*I62)-(J62+K62))</f>
        <v>601</v>
      </c>
      <c r="U62" s="33">
        <f>IF(E62="","",(I62*R62)/1000)</f>
        <v>0.02</v>
      </c>
      <c r="V62" s="123">
        <f>IF(G62="",0,(G62*H62)/3600)</f>
        <v>4.1174999999999997</v>
      </c>
      <c r="W62" s="45">
        <f>IFERROR(IF(E62="","",(H62/P62)),0)</f>
        <v>0.63541666666666663</v>
      </c>
      <c r="X62" s="23">
        <f>WEEKDAY(A62,1)</f>
        <v>5</v>
      </c>
      <c r="Y62" s="120">
        <f>MONTH(A62)</f>
        <v>8</v>
      </c>
      <c r="Z62" s="125">
        <f>WEEKNUM(A62)-WEEKNUM(DATE(YEAR(A62),MONTH(A62),1))+1</f>
        <v>1</v>
      </c>
      <c r="AA62" s="126">
        <f>IF(V62="",0,V62/8)</f>
        <v>0.51468749999999996</v>
      </c>
      <c r="AB62" s="125">
        <f>IF(E62="02PZ03405",0,1)</f>
        <v>1</v>
      </c>
    </row>
    <row r="63" spans="1:28" x14ac:dyDescent="0.2">
      <c r="A63" s="37">
        <v>44776</v>
      </c>
      <c r="B63" s="31" t="s">
        <v>87</v>
      </c>
      <c r="C63" s="31" t="s">
        <v>93</v>
      </c>
      <c r="D63" s="38">
        <v>3</v>
      </c>
      <c r="E63" s="39" t="s">
        <v>61</v>
      </c>
      <c r="F63" s="33" t="str">
        <f>IF(E63="","",VLOOKUP(E63,'Base Datos'!$A$2:$M$150,2,FALSE))</f>
        <v>Tapa Lata 6 Colores</v>
      </c>
      <c r="G63" s="99">
        <v>24.2</v>
      </c>
      <c r="H63" s="102">
        <v>1223</v>
      </c>
      <c r="I63" s="32">
        <v>1</v>
      </c>
      <c r="J63" s="32"/>
      <c r="K63" s="31">
        <v>12</v>
      </c>
      <c r="L63" s="39">
        <v>184975</v>
      </c>
      <c r="M63" s="33">
        <f>IF(E63="","",VLOOKUP(E63,'Base Datos'!$A$2:$M$150,3,FALSE))</f>
        <v>30</v>
      </c>
      <c r="N63" s="23">
        <f>IF(E63="","",VLOOKUP(E63,'Base Datos'!$A$2:$M$150,4,FALSE))</f>
        <v>120</v>
      </c>
      <c r="O63" s="23">
        <f>IF(E63="","",VLOOKUP(E63,'Base Datos'!$A$2:$M$150,5,FALSE))</f>
        <v>30</v>
      </c>
      <c r="P63" s="23">
        <f>IF(E63="","",VLOOKUP(E63,'Base Datos'!$A$2:$M$150,6,FALSE))</f>
        <v>960</v>
      </c>
      <c r="Q63" s="23">
        <f>IF(E63="","",VLOOKUP(E63,'Base Datos'!$A$2:$M$150,7,FALSE))</f>
        <v>1</v>
      </c>
      <c r="R63" s="40">
        <f>IF(E63="","",VLOOKUP(E63,'Base Datos'!$A$2:$M$150,8,FALSE))</f>
        <v>20</v>
      </c>
      <c r="S63" s="40" t="str">
        <f>IF(E63="","",VLOOKUP(E63,'Base Datos'!$A$2:$M$150,9,FALSE))</f>
        <v>PP</v>
      </c>
      <c r="T63" s="33">
        <f>IF(E63="","",(H63*I63)-(J63+K63))</f>
        <v>1211</v>
      </c>
      <c r="U63" s="33">
        <f>IF(E63="","",(I63*R63)/1000)</f>
        <v>0.02</v>
      </c>
      <c r="V63" s="123">
        <f>IF(G63="",0,(G63*H63)/3600)</f>
        <v>8.221277777777777</v>
      </c>
      <c r="W63" s="45">
        <f>IFERROR(IF(E63="","",(H63/P63)),0)</f>
        <v>1.2739583333333333</v>
      </c>
      <c r="X63" s="23">
        <f>WEEKDAY(A63,1)</f>
        <v>4</v>
      </c>
      <c r="Y63" s="120">
        <f>MONTH(A63)</f>
        <v>8</v>
      </c>
      <c r="Z63" s="125">
        <f>WEEKNUM(A63)-WEEKNUM(DATE(YEAR(A63),MONTH(A63),1))+1</f>
        <v>1</v>
      </c>
      <c r="AA63" s="126">
        <f>IF(V63="",0,V63/8)</f>
        <v>1.0276597222222221</v>
      </c>
      <c r="AB63" s="125">
        <f>IF(E63="02PZ03405",0,1)</f>
        <v>1</v>
      </c>
    </row>
    <row r="64" spans="1:28" x14ac:dyDescent="0.2">
      <c r="A64" s="37">
        <v>44775</v>
      </c>
      <c r="B64" s="31" t="s">
        <v>87</v>
      </c>
      <c r="C64" s="31" t="s">
        <v>93</v>
      </c>
      <c r="D64" s="38">
        <v>3</v>
      </c>
      <c r="E64" s="39" t="s">
        <v>61</v>
      </c>
      <c r="F64" s="33" t="str">
        <f>IF(E64="","",VLOOKUP(E64,'Base Datos'!$A$2:$M$150,2,FALSE))</f>
        <v>Tapa Lata 6 Colores</v>
      </c>
      <c r="G64" s="99">
        <v>24.7</v>
      </c>
      <c r="H64" s="102">
        <v>1050</v>
      </c>
      <c r="I64" s="32">
        <v>1</v>
      </c>
      <c r="J64" s="32"/>
      <c r="K64" s="31">
        <v>1</v>
      </c>
      <c r="L64" s="39">
        <v>184975</v>
      </c>
      <c r="M64" s="33">
        <f>IF(E64="","",VLOOKUP(E64,'Base Datos'!$A$2:$M$150,3,FALSE))</f>
        <v>30</v>
      </c>
      <c r="N64" s="23">
        <f>IF(E64="","",VLOOKUP(E64,'Base Datos'!$A$2:$M$150,4,FALSE))</f>
        <v>120</v>
      </c>
      <c r="O64" s="23">
        <f>IF(E64="","",VLOOKUP(E64,'Base Datos'!$A$2:$M$150,5,FALSE))</f>
        <v>30</v>
      </c>
      <c r="P64" s="23">
        <f>IF(E64="","",VLOOKUP(E64,'Base Datos'!$A$2:$M$150,6,FALSE))</f>
        <v>960</v>
      </c>
      <c r="Q64" s="23">
        <f>IF(E64="","",VLOOKUP(E64,'Base Datos'!$A$2:$M$150,7,FALSE))</f>
        <v>1</v>
      </c>
      <c r="R64" s="40">
        <f>IF(E64="","",VLOOKUP(E64,'Base Datos'!$A$2:$M$150,8,FALSE))</f>
        <v>20</v>
      </c>
      <c r="S64" s="40" t="str">
        <f>IF(E64="","",VLOOKUP(E64,'Base Datos'!$A$2:$M$150,9,FALSE))</f>
        <v>PP</v>
      </c>
      <c r="T64" s="33">
        <f>IF(E64="","",(H64*I64)-(J64+K64))</f>
        <v>1049</v>
      </c>
      <c r="U64" s="33">
        <f>IF(E64="","",(I64*R64)/1000)</f>
        <v>0.02</v>
      </c>
      <c r="V64" s="123">
        <f>IF(G64="",0,(G64*H64)/3600)</f>
        <v>7.2041666666666666</v>
      </c>
      <c r="W64" s="45">
        <f>IFERROR(IF(E64="","",(H64/P64)),0)</f>
        <v>1.09375</v>
      </c>
      <c r="X64" s="94">
        <f>WEEKDAY(A64,1)</f>
        <v>3</v>
      </c>
      <c r="Y64" s="120">
        <f>MONTH(A64)</f>
        <v>8</v>
      </c>
      <c r="Z64" s="125">
        <f>WEEKNUM(A64)-WEEKNUM(DATE(YEAR(A64),MONTH(A64),1))+1</f>
        <v>1</v>
      </c>
      <c r="AA64" s="126">
        <f>IF(V64="",0,V64/8)</f>
        <v>0.90052083333333333</v>
      </c>
      <c r="AB64" s="125">
        <f>IF(E64="02PZ03405",0,1)</f>
        <v>1</v>
      </c>
    </row>
    <row r="65" spans="1:28" x14ac:dyDescent="0.2">
      <c r="A65" s="37">
        <v>44774</v>
      </c>
      <c r="B65" s="31" t="s">
        <v>87</v>
      </c>
      <c r="C65" s="31" t="s">
        <v>93</v>
      </c>
      <c r="D65" s="38">
        <v>3</v>
      </c>
      <c r="E65" s="39" t="s">
        <v>61</v>
      </c>
      <c r="F65" s="33" t="str">
        <f>IF(E65="","",VLOOKUP(E65,'Base Datos'!$A$2:$M$150,2,FALSE))</f>
        <v>Tapa Lata 6 Colores</v>
      </c>
      <c r="G65" s="99">
        <v>40</v>
      </c>
      <c r="H65" s="102">
        <v>780</v>
      </c>
      <c r="I65" s="32">
        <v>1</v>
      </c>
      <c r="J65" s="32"/>
      <c r="K65" s="31">
        <v>5</v>
      </c>
      <c r="L65" s="39">
        <v>184975</v>
      </c>
      <c r="M65" s="33">
        <f>IF(E65="","",VLOOKUP(E65,'Base Datos'!$A$2:$M$150,3,FALSE))</f>
        <v>30</v>
      </c>
      <c r="N65" s="23">
        <f>IF(E65="","",VLOOKUP(E65,'Base Datos'!$A$2:$M$150,4,FALSE))</f>
        <v>120</v>
      </c>
      <c r="O65" s="23">
        <f>IF(E65="","",VLOOKUP(E65,'Base Datos'!$A$2:$M$150,5,FALSE))</f>
        <v>30</v>
      </c>
      <c r="P65" s="23">
        <f>IF(E65="","",VLOOKUP(E65,'Base Datos'!$A$2:$M$150,6,FALSE))</f>
        <v>960</v>
      </c>
      <c r="Q65" s="23">
        <f>IF(E65="","",VLOOKUP(E65,'Base Datos'!$A$2:$M$150,7,FALSE))</f>
        <v>1</v>
      </c>
      <c r="R65" s="40">
        <f>IF(E65="","",VLOOKUP(E65,'Base Datos'!$A$2:$M$150,8,FALSE))</f>
        <v>20</v>
      </c>
      <c r="S65" s="40" t="str">
        <f>IF(E65="","",VLOOKUP(E65,'Base Datos'!$A$2:$M$150,9,FALSE))</f>
        <v>PP</v>
      </c>
      <c r="T65" s="33">
        <f>IF(E65="","",(H65*I65)-(J65+K65))</f>
        <v>775</v>
      </c>
      <c r="U65" s="33">
        <f>IF(E65="","",(I65*R65)/1000)</f>
        <v>0.02</v>
      </c>
      <c r="V65" s="123">
        <f>IF(G65="",0,(G65*H65)/3600)</f>
        <v>8.6666666666666661</v>
      </c>
      <c r="W65" s="45">
        <f>IFERROR(IF(E65="","",(H65/P65)),0)</f>
        <v>0.8125</v>
      </c>
      <c r="X65" s="94">
        <f>WEEKDAY(A65,1)</f>
        <v>2</v>
      </c>
      <c r="Y65" s="120">
        <f>MONTH(A65)</f>
        <v>8</v>
      </c>
      <c r="Z65" s="125">
        <f>WEEKNUM(A65)-WEEKNUM(DATE(YEAR(A65),MONTH(A65),1))+1</f>
        <v>1</v>
      </c>
      <c r="AA65" s="126">
        <f>IF(V65="",0,V65/8)</f>
        <v>1.0833333333333333</v>
      </c>
      <c r="AB65" s="125">
        <f>IF(E65="02PZ03405",0,1)</f>
        <v>1</v>
      </c>
    </row>
    <row r="66" spans="1:28" x14ac:dyDescent="0.2">
      <c r="A66" s="37">
        <v>44771</v>
      </c>
      <c r="B66" s="31" t="s">
        <v>87</v>
      </c>
      <c r="C66" s="31" t="s">
        <v>93</v>
      </c>
      <c r="D66" s="38">
        <v>3</v>
      </c>
      <c r="E66" s="39" t="s">
        <v>61</v>
      </c>
      <c r="F66" s="33" t="str">
        <f>IF(E66="","",VLOOKUP(E66,'Base Datos'!$A$2:$M$150,2,FALSE))</f>
        <v>Tapa Lata 6 Colores</v>
      </c>
      <c r="G66" s="99">
        <v>25</v>
      </c>
      <c r="H66" s="102">
        <v>1100</v>
      </c>
      <c r="I66" s="32">
        <v>1</v>
      </c>
      <c r="J66" s="32"/>
      <c r="K66" s="31">
        <v>12</v>
      </c>
      <c r="L66" s="39">
        <v>184975</v>
      </c>
      <c r="M66" s="33">
        <f>IF(E66="","",VLOOKUP(E66,'Base Datos'!$A$2:$M$150,3,FALSE))</f>
        <v>30</v>
      </c>
      <c r="N66" s="23">
        <f>IF(E66="","",VLOOKUP(E66,'Base Datos'!$A$2:$M$150,4,FALSE))</f>
        <v>120</v>
      </c>
      <c r="O66" s="23">
        <f>IF(E66="","",VLOOKUP(E66,'Base Datos'!$A$2:$M$150,5,FALSE))</f>
        <v>30</v>
      </c>
      <c r="P66" s="23">
        <f>IF(E66="","",VLOOKUP(E66,'Base Datos'!$A$2:$M$150,6,FALSE))</f>
        <v>960</v>
      </c>
      <c r="Q66" s="23">
        <f>IF(E66="","",VLOOKUP(E66,'Base Datos'!$A$2:$M$150,7,FALSE))</f>
        <v>1</v>
      </c>
      <c r="R66" s="40">
        <f>IF(E66="","",VLOOKUP(E66,'Base Datos'!$A$2:$M$150,8,FALSE))</f>
        <v>20</v>
      </c>
      <c r="S66" s="40" t="str">
        <f>IF(E66="","",VLOOKUP(E66,'Base Datos'!$A$2:$M$150,9,FALSE))</f>
        <v>PP</v>
      </c>
      <c r="T66" s="33">
        <f>IF(E66="","",(H66*I66)-(J66+K66))</f>
        <v>1088</v>
      </c>
      <c r="U66" s="33">
        <f>IF(E66="","",(I66*R66)/1000)</f>
        <v>0.02</v>
      </c>
      <c r="V66" s="123">
        <f>IF(G66="",0,(G66*H66)/3600)</f>
        <v>7.6388888888888893</v>
      </c>
      <c r="W66" s="45">
        <f>IFERROR(IF(E66="","",(H66/P66)),0)</f>
        <v>1.1458333333333333</v>
      </c>
      <c r="X66" s="94">
        <f>WEEKDAY(A66,1)</f>
        <v>6</v>
      </c>
      <c r="Y66" s="120">
        <f>MONTH(A66)</f>
        <v>7</v>
      </c>
      <c r="Z66" s="125">
        <f>WEEKNUM(A66)-WEEKNUM(DATE(YEAR(A66),MONTH(A66),1))+1</f>
        <v>5</v>
      </c>
      <c r="AA66" s="126">
        <f>IF(V66="",0,V66/8)</f>
        <v>0.95486111111111116</v>
      </c>
      <c r="AB66" s="125">
        <f>IF(E66="02PZ03405",0,1)</f>
        <v>1</v>
      </c>
    </row>
    <row r="67" spans="1:28" x14ac:dyDescent="0.2">
      <c r="A67" s="37">
        <v>44770</v>
      </c>
      <c r="B67" s="31" t="s">
        <v>87</v>
      </c>
      <c r="C67" s="31" t="s">
        <v>93</v>
      </c>
      <c r="D67" s="38">
        <v>3</v>
      </c>
      <c r="E67" s="39" t="s">
        <v>61</v>
      </c>
      <c r="F67" s="33" t="str">
        <f>IF(E67="","",VLOOKUP(E67,'Base Datos'!$A$2:$M$150,2,FALSE))</f>
        <v>Tapa Lata 6 Colores</v>
      </c>
      <c r="G67" s="99">
        <v>27</v>
      </c>
      <c r="H67" s="102">
        <v>1032</v>
      </c>
      <c r="I67" s="32">
        <v>1</v>
      </c>
      <c r="J67" s="32"/>
      <c r="K67" s="31">
        <v>20</v>
      </c>
      <c r="L67" s="39">
        <v>184975</v>
      </c>
      <c r="M67" s="33">
        <f>IF(E67="","",VLOOKUP(E67,'Base Datos'!$A$2:$M$150,3,FALSE))</f>
        <v>30</v>
      </c>
      <c r="N67" s="23">
        <f>IF(E67="","",VLOOKUP(E67,'Base Datos'!$A$2:$M$150,4,FALSE))</f>
        <v>120</v>
      </c>
      <c r="O67" s="23">
        <f>IF(E67="","",VLOOKUP(E67,'Base Datos'!$A$2:$M$150,5,FALSE))</f>
        <v>30</v>
      </c>
      <c r="P67" s="23">
        <f>IF(E67="","",VLOOKUP(E67,'Base Datos'!$A$2:$M$150,6,FALSE))</f>
        <v>960</v>
      </c>
      <c r="Q67" s="23">
        <f>IF(E67="","",VLOOKUP(E67,'Base Datos'!$A$2:$M$150,7,FALSE))</f>
        <v>1</v>
      </c>
      <c r="R67" s="40">
        <f>IF(E67="","",VLOOKUP(E67,'Base Datos'!$A$2:$M$150,8,FALSE))</f>
        <v>20</v>
      </c>
      <c r="S67" s="40" t="str">
        <f>IF(E67="","",VLOOKUP(E67,'Base Datos'!$A$2:$M$150,9,FALSE))</f>
        <v>PP</v>
      </c>
      <c r="T67" s="33">
        <f>IF(E67="","",(H67*I67)-(J67+K67))</f>
        <v>1012</v>
      </c>
      <c r="U67" s="33">
        <f>IF(E67="","",(I67*R67)/1000)</f>
        <v>0.02</v>
      </c>
      <c r="V67" s="123">
        <f>IF(G67="",0,(G67*H67)/3600)</f>
        <v>7.74</v>
      </c>
      <c r="W67" s="45">
        <f>IFERROR(IF(E67="","",(H67/P67)),0)</f>
        <v>1.075</v>
      </c>
      <c r="X67" s="94">
        <f>WEEKDAY(A67,1)</f>
        <v>5</v>
      </c>
      <c r="Y67" s="120">
        <f>MONTH(A67)</f>
        <v>7</v>
      </c>
      <c r="Z67" s="125">
        <f>WEEKNUM(A67)-WEEKNUM(DATE(YEAR(A67),MONTH(A67),1))+1</f>
        <v>5</v>
      </c>
      <c r="AA67" s="126">
        <f>IF(V67="",0,V67/8)</f>
        <v>0.96750000000000003</v>
      </c>
      <c r="AB67" s="125">
        <f>IF(E67="02PZ03405",0,1)</f>
        <v>1</v>
      </c>
    </row>
    <row r="68" spans="1:28" x14ac:dyDescent="0.2">
      <c r="A68" s="37">
        <v>44769</v>
      </c>
      <c r="B68" s="31" t="s">
        <v>87</v>
      </c>
      <c r="C68" s="31" t="s">
        <v>93</v>
      </c>
      <c r="D68" s="38">
        <v>3</v>
      </c>
      <c r="E68" s="39" t="s">
        <v>61</v>
      </c>
      <c r="F68" s="33" t="str">
        <f>IF(E68="","",VLOOKUP(E68,'Base Datos'!$A$2:$M$150,2,FALSE))</f>
        <v>Tapa Lata 6 Colores</v>
      </c>
      <c r="G68" s="99">
        <v>28</v>
      </c>
      <c r="H68" s="102">
        <v>900</v>
      </c>
      <c r="I68" s="32">
        <v>1</v>
      </c>
      <c r="J68" s="32"/>
      <c r="K68" s="31">
        <v>20</v>
      </c>
      <c r="L68" s="39">
        <v>184975</v>
      </c>
      <c r="M68" s="33">
        <f>IF(E68="","",VLOOKUP(E68,'Base Datos'!$A$2:$M$150,3,FALSE))</f>
        <v>30</v>
      </c>
      <c r="N68" s="23">
        <f>IF(E68="","",VLOOKUP(E68,'Base Datos'!$A$2:$M$150,4,FALSE))</f>
        <v>120</v>
      </c>
      <c r="O68" s="23">
        <f>IF(E68="","",VLOOKUP(E68,'Base Datos'!$A$2:$M$150,5,FALSE))</f>
        <v>30</v>
      </c>
      <c r="P68" s="23">
        <f>IF(E68="","",VLOOKUP(E68,'Base Datos'!$A$2:$M$150,6,FALSE))</f>
        <v>960</v>
      </c>
      <c r="Q68" s="23">
        <f>IF(E68="","",VLOOKUP(E68,'Base Datos'!$A$2:$M$150,7,FALSE))</f>
        <v>1</v>
      </c>
      <c r="R68" s="40">
        <f>IF(E68="","",VLOOKUP(E68,'Base Datos'!$A$2:$M$150,8,FALSE))</f>
        <v>20</v>
      </c>
      <c r="S68" s="40" t="str">
        <f>IF(E68="","",VLOOKUP(E68,'Base Datos'!$A$2:$M$150,9,FALSE))</f>
        <v>PP</v>
      </c>
      <c r="T68" s="33">
        <f>IF(E68="","",(H68*I68)-(J68+K68))</f>
        <v>880</v>
      </c>
      <c r="U68" s="33">
        <f>IF(E68="","",(I68*R68)/1000)</f>
        <v>0.02</v>
      </c>
      <c r="V68" s="123">
        <f>IF(G68="",0,(G68*H68)/3600)</f>
        <v>7</v>
      </c>
      <c r="W68" s="45">
        <f>IFERROR(IF(E68="","",(H68/P68)),0)</f>
        <v>0.9375</v>
      </c>
      <c r="X68" s="94">
        <f>WEEKDAY(A68,1)</f>
        <v>4</v>
      </c>
      <c r="Y68" s="120">
        <f>MONTH(A68)</f>
        <v>7</v>
      </c>
      <c r="Z68" s="125">
        <f>WEEKNUM(A68)-WEEKNUM(DATE(YEAR(A68),MONTH(A68),1))+1</f>
        <v>5</v>
      </c>
      <c r="AA68" s="126">
        <f>IF(V68="",0,V68/8)</f>
        <v>0.875</v>
      </c>
      <c r="AB68" s="125">
        <f>IF(E68="02PZ03405",0,1)</f>
        <v>1</v>
      </c>
    </row>
    <row r="69" spans="1:28" x14ac:dyDescent="0.2">
      <c r="A69" s="37">
        <v>44769</v>
      </c>
      <c r="B69" s="31" t="s">
        <v>87</v>
      </c>
      <c r="C69" s="31" t="s">
        <v>92</v>
      </c>
      <c r="D69" s="38">
        <v>5</v>
      </c>
      <c r="E69" s="39" t="s">
        <v>141</v>
      </c>
      <c r="F69" s="33" t="str">
        <f>IF(E69="","",VLOOKUP(E69,'Base Datos'!$A$2:$M$150,2,FALSE))</f>
        <v>Tapa Autocebante</v>
      </c>
      <c r="G69" s="99">
        <v>37</v>
      </c>
      <c r="H69" s="102">
        <v>703</v>
      </c>
      <c r="I69" s="32">
        <v>3</v>
      </c>
      <c r="J69" s="32"/>
      <c r="K69" s="31">
        <v>0</v>
      </c>
      <c r="L69" s="39">
        <v>184975</v>
      </c>
      <c r="M69" s="33">
        <f>IF(E69="","",VLOOKUP(E69,'Base Datos'!$A$2:$M$150,3,FALSE))</f>
        <v>9</v>
      </c>
      <c r="N69" s="23">
        <f>IF(E69="","",VLOOKUP(E69,'Base Datos'!$A$2:$M$150,4,FALSE))</f>
        <v>400</v>
      </c>
      <c r="O69" s="23">
        <f>IF(E69="","",VLOOKUP(E69,'Base Datos'!$A$2:$M$150,5,FALSE))</f>
        <v>35</v>
      </c>
      <c r="P69" s="23">
        <f>IF(E69="","",VLOOKUP(E69,'Base Datos'!$A$2:$M$150,6,FALSE))</f>
        <v>0</v>
      </c>
      <c r="Q69" s="23">
        <f>IF(E69="","",VLOOKUP(E69,'Base Datos'!$A$2:$M$150,7,FALSE))</f>
        <v>4</v>
      </c>
      <c r="R69" s="40">
        <f>IF(E69="","",VLOOKUP(E69,'Base Datos'!$A$2:$M$150,8,FALSE))</f>
        <v>0</v>
      </c>
      <c r="S69" s="40" t="str">
        <f>IF(E69="","",VLOOKUP(E69,'Base Datos'!$A$2:$M$150,9,FALSE))</f>
        <v>PP</v>
      </c>
      <c r="T69" s="33">
        <f>IF(E69="","",(H69*I69)-(J69+K69))</f>
        <v>2109</v>
      </c>
      <c r="U69" s="33">
        <f>IF(E69="","",(I69*R69)/1000)</f>
        <v>0</v>
      </c>
      <c r="V69" s="123">
        <f>IF(G69="",0,(G69*H69)/3600)</f>
        <v>7.2252777777777775</v>
      </c>
      <c r="W69" s="45">
        <f>IFERROR(IF(E69="","",(H69/P69)),0)</f>
        <v>0</v>
      </c>
      <c r="X69" s="94">
        <f>WEEKDAY(A69,1)</f>
        <v>4</v>
      </c>
      <c r="Y69" s="120">
        <f>MONTH(A69)</f>
        <v>7</v>
      </c>
      <c r="Z69" s="125">
        <f>WEEKNUM(A69)-WEEKNUM(DATE(YEAR(A69),MONTH(A69),1))+1</f>
        <v>5</v>
      </c>
      <c r="AA69" s="126">
        <f>IF(V69="",0,V69/8)</f>
        <v>0.90315972222222218</v>
      </c>
      <c r="AB69" s="125">
        <f>IF(E69="02PZ03405",0,1)</f>
        <v>1</v>
      </c>
    </row>
    <row r="70" spans="1:28" x14ac:dyDescent="0.2">
      <c r="A70" s="37">
        <v>44768</v>
      </c>
      <c r="B70" s="31" t="s">
        <v>87</v>
      </c>
      <c r="C70" s="31" t="s">
        <v>92</v>
      </c>
      <c r="D70" s="38">
        <v>5</v>
      </c>
      <c r="E70" s="39" t="s">
        <v>141</v>
      </c>
      <c r="F70" s="33" t="str">
        <f>IF(E70="","",VLOOKUP(E70,'Base Datos'!$A$2:$M$150,2,FALSE))</f>
        <v>Tapa Autocebante</v>
      </c>
      <c r="G70" s="99">
        <v>33</v>
      </c>
      <c r="H70" s="102">
        <v>650</v>
      </c>
      <c r="I70" s="32">
        <v>3</v>
      </c>
      <c r="J70" s="32">
        <v>0</v>
      </c>
      <c r="K70" s="31">
        <v>0</v>
      </c>
      <c r="L70" s="39">
        <v>184975</v>
      </c>
      <c r="M70" s="33">
        <f>IF(E70="","",VLOOKUP(E70,'Base Datos'!$A$2:$M$150,3,FALSE))</f>
        <v>9</v>
      </c>
      <c r="N70" s="23">
        <f>IF(E70="","",VLOOKUP(E70,'Base Datos'!$A$2:$M$150,4,FALSE))</f>
        <v>400</v>
      </c>
      <c r="O70" s="23">
        <f>IF(E70="","",VLOOKUP(E70,'Base Datos'!$A$2:$M$150,5,FALSE))</f>
        <v>35</v>
      </c>
      <c r="P70" s="23">
        <f>IF(E70="","",VLOOKUP(E70,'Base Datos'!$A$2:$M$150,6,FALSE))</f>
        <v>0</v>
      </c>
      <c r="Q70" s="23">
        <f>IF(E70="","",VLOOKUP(E70,'Base Datos'!$A$2:$M$150,7,FALSE))</f>
        <v>4</v>
      </c>
      <c r="R70" s="40">
        <f>IF(E70="","",VLOOKUP(E70,'Base Datos'!$A$2:$M$150,8,FALSE))</f>
        <v>0</v>
      </c>
      <c r="S70" s="40" t="str">
        <f>IF(E70="","",VLOOKUP(E70,'Base Datos'!$A$2:$M$150,9,FALSE))</f>
        <v>PP</v>
      </c>
      <c r="T70" s="33">
        <f>IF(E70="","",(H70*I70)-(J70+K70))</f>
        <v>1950</v>
      </c>
      <c r="U70" s="33">
        <f>IF(E70="","",(I70*R70)/1000)</f>
        <v>0</v>
      </c>
      <c r="V70" s="123">
        <f>IF(G70="",0,(G70*H70)/3600)</f>
        <v>5.958333333333333</v>
      </c>
      <c r="W70" s="45">
        <f>IFERROR(IF(E70="","",(H70/P70)),0)</f>
        <v>0</v>
      </c>
      <c r="X70" s="94">
        <f>WEEKDAY(A70,1)</f>
        <v>3</v>
      </c>
      <c r="Y70" s="120">
        <f>MONTH(A70)</f>
        <v>7</v>
      </c>
      <c r="Z70" s="125">
        <f>WEEKNUM(A70)-WEEKNUM(DATE(YEAR(A70),MONTH(A70),1))+1</f>
        <v>5</v>
      </c>
      <c r="AA70" s="126">
        <f>IF(V70="",0,V70/8)</f>
        <v>0.74479166666666663</v>
      </c>
      <c r="AB70" s="125">
        <f>IF(E70="02PZ03405",0,1)</f>
        <v>1</v>
      </c>
    </row>
    <row r="71" spans="1:28" x14ac:dyDescent="0.2">
      <c r="A71" s="37">
        <v>44767</v>
      </c>
      <c r="B71" s="31" t="s">
        <v>87</v>
      </c>
      <c r="C71" s="31" t="s">
        <v>92</v>
      </c>
      <c r="D71" s="38">
        <v>5</v>
      </c>
      <c r="E71" s="39" t="s">
        <v>141</v>
      </c>
      <c r="F71" s="33" t="str">
        <f>IF(E71="","",VLOOKUP(E71,'Base Datos'!$A$2:$M$150,2,FALSE))</f>
        <v>Tapa Autocebante</v>
      </c>
      <c r="G71" s="99">
        <v>38</v>
      </c>
      <c r="H71" s="102">
        <v>506</v>
      </c>
      <c r="I71" s="32">
        <v>4</v>
      </c>
      <c r="J71" s="32">
        <v>0</v>
      </c>
      <c r="K71" s="31">
        <v>0</v>
      </c>
      <c r="L71" s="39">
        <v>184975</v>
      </c>
      <c r="M71" s="33">
        <f>IF(E71="","",VLOOKUP(E71,'Base Datos'!$A$2:$M$150,3,FALSE))</f>
        <v>9</v>
      </c>
      <c r="N71" s="23">
        <f>IF(E71="","",VLOOKUP(E71,'Base Datos'!$A$2:$M$150,4,FALSE))</f>
        <v>400</v>
      </c>
      <c r="O71" s="23">
        <f>IF(E71="","",VLOOKUP(E71,'Base Datos'!$A$2:$M$150,5,FALSE))</f>
        <v>35</v>
      </c>
      <c r="P71" s="23">
        <f>IF(E71="","",VLOOKUP(E71,'Base Datos'!$A$2:$M$150,6,FALSE))</f>
        <v>0</v>
      </c>
      <c r="Q71" s="23">
        <f>IF(E71="","",VLOOKUP(E71,'Base Datos'!$A$2:$M$150,7,FALSE))</f>
        <v>4</v>
      </c>
      <c r="R71" s="40">
        <f>IF(E71="","",VLOOKUP(E71,'Base Datos'!$A$2:$M$150,8,FALSE))</f>
        <v>0</v>
      </c>
      <c r="S71" s="40" t="str">
        <f>IF(E71="","",VLOOKUP(E71,'Base Datos'!$A$2:$M$150,9,FALSE))</f>
        <v>PP</v>
      </c>
      <c r="T71" s="33">
        <f>IF(E71="","",(H71*I71)-(J71+K71))</f>
        <v>2024</v>
      </c>
      <c r="U71" s="33">
        <f>IF(E71="","",(I71*R71)/1000)</f>
        <v>0</v>
      </c>
      <c r="V71" s="123">
        <f>IF(G71="",0,(G71*H71)/3600)</f>
        <v>5.3411111111111111</v>
      </c>
      <c r="W71" s="45">
        <f>IFERROR(IF(E71="","",(H71/P71)),0)</f>
        <v>0</v>
      </c>
      <c r="X71" s="94">
        <f>WEEKDAY(A71,1)</f>
        <v>2</v>
      </c>
      <c r="Y71" s="120">
        <f>MONTH(A71)</f>
        <v>7</v>
      </c>
      <c r="Z71" s="125">
        <f>WEEKNUM(A71)-WEEKNUM(DATE(YEAR(A71),MONTH(A71),1))+1</f>
        <v>5</v>
      </c>
      <c r="AA71" s="126">
        <f>IF(V71="",0,V71/8)</f>
        <v>0.66763888888888889</v>
      </c>
      <c r="AB71" s="125">
        <f>IF(E71="02PZ03405",0,1)</f>
        <v>1</v>
      </c>
    </row>
    <row r="72" spans="1:28" x14ac:dyDescent="0.2">
      <c r="A72" s="37">
        <v>44768</v>
      </c>
      <c r="B72" s="31" t="s">
        <v>34</v>
      </c>
      <c r="C72" s="31" t="s">
        <v>35</v>
      </c>
      <c r="D72" s="38">
        <v>5</v>
      </c>
      <c r="E72" s="39" t="s">
        <v>141</v>
      </c>
      <c r="F72" s="33" t="str">
        <f>IF(E72="","",VLOOKUP(E72,'Base Datos'!$A$2:$M$150,2,FALSE))</f>
        <v>Tapa Autocebante</v>
      </c>
      <c r="G72" s="99">
        <v>40</v>
      </c>
      <c r="H72" s="102">
        <v>450</v>
      </c>
      <c r="I72" s="32">
        <v>4</v>
      </c>
      <c r="J72" s="32"/>
      <c r="K72" s="31"/>
      <c r="L72" s="39">
        <v>184975</v>
      </c>
      <c r="M72" s="33">
        <f>IF(E72="","",VLOOKUP(E72,'Base Datos'!$A$2:$M$150,3,FALSE))</f>
        <v>9</v>
      </c>
      <c r="N72" s="23">
        <f>IF(E72="","",VLOOKUP(E72,'Base Datos'!$A$2:$M$150,4,FALSE))</f>
        <v>400</v>
      </c>
      <c r="O72" s="23">
        <f>IF(E72="","",VLOOKUP(E72,'Base Datos'!$A$2:$M$150,5,FALSE))</f>
        <v>35</v>
      </c>
      <c r="P72" s="23">
        <f>IF(E72="","",VLOOKUP(E72,'Base Datos'!$A$2:$M$150,6,FALSE))</f>
        <v>0</v>
      </c>
      <c r="Q72" s="23">
        <f>IF(E72="","",VLOOKUP(E72,'Base Datos'!$A$2:$M$150,7,FALSE))</f>
        <v>4</v>
      </c>
      <c r="R72" s="40">
        <f>IF(E72="","",VLOOKUP(E72,'Base Datos'!$A$2:$M$150,8,FALSE))</f>
        <v>0</v>
      </c>
      <c r="S72" s="40" t="str">
        <f>IF(E72="","",VLOOKUP(E72,'Base Datos'!$A$2:$M$150,9,FALSE))</f>
        <v>PP</v>
      </c>
      <c r="T72" s="33">
        <f>IF(E72="","",(H72*I72)-(J72+K72))</f>
        <v>1800</v>
      </c>
      <c r="U72" s="33">
        <f>IF(E72="","",(I72*R72)/1000)</f>
        <v>0</v>
      </c>
      <c r="V72" s="123">
        <f>IF(G72="",0,(G72*H72)/3600)</f>
        <v>5</v>
      </c>
      <c r="W72" s="45">
        <f>IFERROR(IF(E72="","",(H72/P72)),0)</f>
        <v>0</v>
      </c>
      <c r="X72" s="94">
        <f>WEEKDAY(A72,1)</f>
        <v>3</v>
      </c>
      <c r="Y72" s="120">
        <f>MONTH(A72)</f>
        <v>7</v>
      </c>
      <c r="Z72" s="125">
        <f>WEEKNUM(A72)-WEEKNUM(DATE(YEAR(A72),MONTH(A72),1))+1</f>
        <v>5</v>
      </c>
      <c r="AA72" s="126">
        <f>IF(V72="",0,V72/8)</f>
        <v>0.625</v>
      </c>
      <c r="AB72" s="125">
        <f>IF(E72="02PZ03405",0,1)</f>
        <v>1</v>
      </c>
    </row>
    <row r="73" spans="1:28" x14ac:dyDescent="0.2">
      <c r="A73" s="37">
        <v>44767</v>
      </c>
      <c r="B73" s="31" t="s">
        <v>86</v>
      </c>
      <c r="C73" s="31" t="s">
        <v>90</v>
      </c>
      <c r="D73" s="38">
        <v>5</v>
      </c>
      <c r="E73" s="39" t="s">
        <v>141</v>
      </c>
      <c r="F73" s="33" t="str">
        <f>IF(E73="","",VLOOKUP(E73,'Base Datos'!$A$2:$M$150,2,FALSE))</f>
        <v>Tapa Autocebante</v>
      </c>
      <c r="G73" s="99">
        <v>37.9</v>
      </c>
      <c r="H73" s="102">
        <v>268</v>
      </c>
      <c r="I73" s="32">
        <v>4</v>
      </c>
      <c r="J73" s="32"/>
      <c r="K73" s="31"/>
      <c r="L73" s="39">
        <v>184975</v>
      </c>
      <c r="M73" s="33">
        <f>IF(E73="","",VLOOKUP(E73,'Base Datos'!$A$2:$M$150,3,FALSE))</f>
        <v>9</v>
      </c>
      <c r="N73" s="23">
        <f>IF(E73="","",VLOOKUP(E73,'Base Datos'!$A$2:$M$150,4,FALSE))</f>
        <v>400</v>
      </c>
      <c r="O73" s="23">
        <f>IF(E73="","",VLOOKUP(E73,'Base Datos'!$A$2:$M$150,5,FALSE))</f>
        <v>35</v>
      </c>
      <c r="P73" s="23">
        <f>IF(E73="","",VLOOKUP(E73,'Base Datos'!$A$2:$M$150,6,FALSE))</f>
        <v>0</v>
      </c>
      <c r="Q73" s="23">
        <f>IF(E73="","",VLOOKUP(E73,'Base Datos'!$A$2:$M$150,7,FALSE))</f>
        <v>4</v>
      </c>
      <c r="R73" s="40">
        <f>IF(E73="","",VLOOKUP(E73,'Base Datos'!$A$2:$M$150,8,FALSE))</f>
        <v>0</v>
      </c>
      <c r="S73" s="40" t="str">
        <f>IF(E73="","",VLOOKUP(E73,'Base Datos'!$A$2:$M$150,9,FALSE))</f>
        <v>PP</v>
      </c>
      <c r="T73" s="33">
        <f>IF(E73="","",(H73*I73)-(J73+K73))</f>
        <v>1072</v>
      </c>
      <c r="U73" s="33">
        <f>IF(E73="","",(I73*R73)/1000)</f>
        <v>0</v>
      </c>
      <c r="V73" s="123">
        <f>IF(G73="",0,(G73*H73)/3600)</f>
        <v>2.821444444444444</v>
      </c>
      <c r="W73" s="45">
        <f>IFERROR(IF(E73="","",(H73/P73)),0)</f>
        <v>0</v>
      </c>
      <c r="X73" s="94">
        <f>WEEKDAY(A73,1)</f>
        <v>2</v>
      </c>
      <c r="Y73" s="120">
        <f>MONTH(A73)</f>
        <v>7</v>
      </c>
      <c r="Z73" s="125">
        <f>WEEKNUM(A73)-WEEKNUM(DATE(YEAR(A73),MONTH(A73),1))+1</f>
        <v>5</v>
      </c>
      <c r="AA73" s="126">
        <f>IF(V73="",0,V73/8)</f>
        <v>0.3526805555555555</v>
      </c>
      <c r="AB73" s="125">
        <f>IF(E73="02PZ03405",0,1)</f>
        <v>1</v>
      </c>
    </row>
    <row r="74" spans="1:28" x14ac:dyDescent="0.2">
      <c r="A74" s="37">
        <v>44770</v>
      </c>
      <c r="B74" s="31" t="s">
        <v>34</v>
      </c>
      <c r="C74" s="31" t="s">
        <v>88</v>
      </c>
      <c r="D74" s="38">
        <v>5</v>
      </c>
      <c r="E74" s="39" t="s">
        <v>141</v>
      </c>
      <c r="F74" s="33" t="str">
        <f>IF(E74="","",VLOOKUP(E74,'Base Datos'!$A$2:$M$150,2,FALSE))</f>
        <v>Tapa Autocebante</v>
      </c>
      <c r="G74" s="99">
        <v>33</v>
      </c>
      <c r="H74" s="102">
        <v>594</v>
      </c>
      <c r="I74" s="32">
        <v>3</v>
      </c>
      <c r="J74" s="32"/>
      <c r="K74" s="31"/>
      <c r="L74" s="39">
        <v>184975</v>
      </c>
      <c r="M74" s="33">
        <f>IF(E74="","",VLOOKUP(E74,'Base Datos'!$A$2:$M$150,3,FALSE))</f>
        <v>9</v>
      </c>
      <c r="N74" s="23">
        <f>IF(E74="","",VLOOKUP(E74,'Base Datos'!$A$2:$M$150,4,FALSE))</f>
        <v>400</v>
      </c>
      <c r="O74" s="23">
        <f>IF(E74="","",VLOOKUP(E74,'Base Datos'!$A$2:$M$150,5,FALSE))</f>
        <v>35</v>
      </c>
      <c r="P74" s="23">
        <f>IF(E74="","",VLOOKUP(E74,'Base Datos'!$A$2:$M$150,6,FALSE))</f>
        <v>0</v>
      </c>
      <c r="Q74" s="23">
        <f>IF(E74="","",VLOOKUP(E74,'Base Datos'!$A$2:$M$150,7,FALSE))</f>
        <v>4</v>
      </c>
      <c r="R74" s="40">
        <f>IF(E74="","",VLOOKUP(E74,'Base Datos'!$A$2:$M$150,8,FALSE))</f>
        <v>0</v>
      </c>
      <c r="S74" s="40" t="str">
        <f>IF(E74="","",VLOOKUP(E74,'Base Datos'!$A$2:$M$150,9,FALSE))</f>
        <v>PP</v>
      </c>
      <c r="T74" s="33">
        <f>IF(E74="","",(H74*I74)-(J74+K74))</f>
        <v>1782</v>
      </c>
      <c r="U74" s="33">
        <f>IF(E74="","",(I74*R74)/1000)</f>
        <v>0</v>
      </c>
      <c r="V74" s="123">
        <f>IF(G74="",0,(G74*H74)/3600)</f>
        <v>5.4450000000000003</v>
      </c>
      <c r="W74" s="45">
        <f>IFERROR(IF(E74="","",(H74/P74)),0)</f>
        <v>0</v>
      </c>
      <c r="X74" s="94">
        <f>WEEKDAY(A74,1)</f>
        <v>5</v>
      </c>
      <c r="Y74" s="120">
        <f>MONTH(A74)</f>
        <v>7</v>
      </c>
      <c r="Z74" s="125">
        <f>WEEKNUM(A74)-WEEKNUM(DATE(YEAR(A74),MONTH(A74),1))+1</f>
        <v>5</v>
      </c>
      <c r="AA74" s="126">
        <f>IF(V74="",0,V74/8)</f>
        <v>0.68062500000000004</v>
      </c>
      <c r="AB74" s="125">
        <f>IF(E74="02PZ03405",0,1)</f>
        <v>1</v>
      </c>
    </row>
    <row r="75" spans="1:28" x14ac:dyDescent="0.2">
      <c r="A75" s="37">
        <v>44769</v>
      </c>
      <c r="B75" s="31" t="s">
        <v>34</v>
      </c>
      <c r="C75" s="31" t="s">
        <v>88</v>
      </c>
      <c r="D75" s="38">
        <v>5</v>
      </c>
      <c r="E75" s="39" t="s">
        <v>141</v>
      </c>
      <c r="F75" s="33" t="str">
        <f>IF(E75="","",VLOOKUP(E75,'Base Datos'!$A$2:$M$150,2,FALSE))</f>
        <v>Tapa Autocebante</v>
      </c>
      <c r="G75" s="99">
        <v>39.1</v>
      </c>
      <c r="H75" s="102">
        <v>653</v>
      </c>
      <c r="I75" s="32">
        <v>4</v>
      </c>
      <c r="J75" s="32"/>
      <c r="K75" s="31"/>
      <c r="L75" s="39">
        <v>184975</v>
      </c>
      <c r="M75" s="33">
        <f>IF(E75="","",VLOOKUP(E75,'Base Datos'!$A$2:$M$150,3,FALSE))</f>
        <v>9</v>
      </c>
      <c r="N75" s="23">
        <f>IF(E75="","",VLOOKUP(E75,'Base Datos'!$A$2:$M$150,4,FALSE))</f>
        <v>400</v>
      </c>
      <c r="O75" s="23">
        <f>IF(E75="","",VLOOKUP(E75,'Base Datos'!$A$2:$M$150,5,FALSE))</f>
        <v>35</v>
      </c>
      <c r="P75" s="23">
        <f>IF(E75="","",VLOOKUP(E75,'Base Datos'!$A$2:$M$150,6,FALSE))</f>
        <v>0</v>
      </c>
      <c r="Q75" s="23">
        <f>IF(E75="","",VLOOKUP(E75,'Base Datos'!$A$2:$M$150,7,FALSE))</f>
        <v>4</v>
      </c>
      <c r="R75" s="40">
        <f>IF(E75="","",VLOOKUP(E75,'Base Datos'!$A$2:$M$150,8,FALSE))</f>
        <v>0</v>
      </c>
      <c r="S75" s="40" t="str">
        <f>IF(E75="","",VLOOKUP(E75,'Base Datos'!$A$2:$M$150,9,FALSE))</f>
        <v>PP</v>
      </c>
      <c r="T75" s="33">
        <f>IF(E75="","",(H75*I75)-(J75+K75))</f>
        <v>2612</v>
      </c>
      <c r="U75" s="33">
        <f>IF(E75="","",(I75*R75)/1000)</f>
        <v>0</v>
      </c>
      <c r="V75" s="123">
        <f>IF(G75="",0,(G75*H75)/3600)</f>
        <v>7.092305555555555</v>
      </c>
      <c r="W75" s="45">
        <f>IFERROR(IF(E75="","",(H75/P75)),0)</f>
        <v>0</v>
      </c>
      <c r="X75" s="94">
        <f>WEEKDAY(A75,1)</f>
        <v>4</v>
      </c>
      <c r="Y75" s="120">
        <f>MONTH(A75)</f>
        <v>7</v>
      </c>
      <c r="Z75" s="125">
        <f>WEEKNUM(A75)-WEEKNUM(DATE(YEAR(A75),MONTH(A75),1))+1</f>
        <v>5</v>
      </c>
      <c r="AA75" s="126">
        <f>IF(V75="",0,V75/8)</f>
        <v>0.88653819444444437</v>
      </c>
      <c r="AB75" s="125">
        <f>IF(E75="02PZ03405",0,1)</f>
        <v>1</v>
      </c>
    </row>
    <row r="76" spans="1:28" x14ac:dyDescent="0.2">
      <c r="A76" s="37">
        <v>44774</v>
      </c>
      <c r="B76" s="31" t="s">
        <v>86</v>
      </c>
      <c r="C76" s="31" t="s">
        <v>90</v>
      </c>
      <c r="D76" s="38">
        <v>5</v>
      </c>
      <c r="E76" s="39" t="s">
        <v>226</v>
      </c>
      <c r="F76" s="33" t="str">
        <f>IF(E76="","",VLOOKUP(E76,'Base Datos'!$A$2:$M$150,2,FALSE))</f>
        <v>Problema molde vaso autocebante</v>
      </c>
      <c r="G76" s="99">
        <v>45.3</v>
      </c>
      <c r="H76" s="102">
        <v>343</v>
      </c>
      <c r="I76" s="32">
        <v>2</v>
      </c>
      <c r="J76" s="32">
        <v>0</v>
      </c>
      <c r="K76" s="31">
        <v>25</v>
      </c>
      <c r="L76" s="39">
        <v>184975</v>
      </c>
      <c r="M76" s="33">
        <f>IF(E76="","",VLOOKUP(E76,'Base Datos'!$A$2:$M$150,3,FALSE))</f>
        <v>0</v>
      </c>
      <c r="N76" s="23">
        <f>IF(E76="","",VLOOKUP(E76,'Base Datos'!$A$2:$M$150,4,FALSE))</f>
        <v>0</v>
      </c>
      <c r="O76" s="23">
        <f>IF(E76="","",VLOOKUP(E76,'Base Datos'!$A$2:$M$150,5,FALSE))</f>
        <v>0</v>
      </c>
      <c r="P76" s="23">
        <f>IF(E76="","",VLOOKUP(E76,'Base Datos'!$A$2:$M$150,6,FALSE))</f>
        <v>0</v>
      </c>
      <c r="Q76" s="23">
        <f>IF(E76="","",VLOOKUP(E76,'Base Datos'!$A$2:$M$150,7,FALSE))</f>
        <v>0</v>
      </c>
      <c r="R76" s="40">
        <f>IF(E76="","",VLOOKUP(E76,'Base Datos'!$A$2:$M$150,8,FALSE))</f>
        <v>0</v>
      </c>
      <c r="S76" s="40">
        <f>IF(E76="","",VLOOKUP(E76,'Base Datos'!$A$2:$M$150,9,FALSE))</f>
        <v>0</v>
      </c>
      <c r="T76" s="33">
        <f>IF(E76="","",(H76*I76)-(J76+K76))</f>
        <v>661</v>
      </c>
      <c r="U76" s="33">
        <f>IF(E76="","",(I76*R76)/1000)</f>
        <v>0</v>
      </c>
      <c r="V76" s="123">
        <f>IF(G76="",0,(G76*H76)/3600)</f>
        <v>4.3160833333333333</v>
      </c>
      <c r="W76" s="45">
        <f>IFERROR(IF(E76="","",(H76/P76)),0)</f>
        <v>0</v>
      </c>
      <c r="X76" s="94">
        <f>WEEKDAY(A76,1)</f>
        <v>2</v>
      </c>
      <c r="Y76" s="120">
        <f>MONTH(A76)</f>
        <v>8</v>
      </c>
      <c r="Z76" s="125">
        <f>WEEKNUM(A76)-WEEKNUM(DATE(YEAR(A76),MONTH(A76),1))+1</f>
        <v>1</v>
      </c>
      <c r="AA76" s="126">
        <f>IF(V76="",0,V76/8)</f>
        <v>0.53951041666666666</v>
      </c>
      <c r="AB76" s="125">
        <f>IF(E76="02PZ03405",0,1)</f>
        <v>1</v>
      </c>
    </row>
    <row r="77" spans="1:28" x14ac:dyDescent="0.2">
      <c r="A77" s="37">
        <v>44768</v>
      </c>
      <c r="B77" s="31" t="s">
        <v>87</v>
      </c>
      <c r="C77" s="31" t="s">
        <v>92</v>
      </c>
      <c r="D77" s="38">
        <v>3</v>
      </c>
      <c r="E77" s="39" t="s">
        <v>222</v>
      </c>
      <c r="F77" s="33" t="str">
        <f>IF(E77="","",VLOOKUP(E77,'Base Datos'!$A$2:$M$150,2,FALSE))</f>
        <v>Problema molde tapa lata</v>
      </c>
      <c r="G77" s="99">
        <v>0</v>
      </c>
      <c r="H77" s="102">
        <v>0</v>
      </c>
      <c r="I77" s="32">
        <v>0</v>
      </c>
      <c r="J77" s="32">
        <v>0</v>
      </c>
      <c r="K77" s="31">
        <v>0</v>
      </c>
      <c r="L77" s="39">
        <v>184975</v>
      </c>
      <c r="M77" s="33">
        <f>IF(E77="","",VLOOKUP(E77,'Base Datos'!$A$2:$M$150,3,FALSE))</f>
        <v>0</v>
      </c>
      <c r="N77" s="23">
        <f>IF(E77="","",VLOOKUP(E77,'Base Datos'!$A$2:$M$150,4,FALSE))</f>
        <v>0</v>
      </c>
      <c r="O77" s="23">
        <f>IF(E77="","",VLOOKUP(E77,'Base Datos'!$A$2:$M$150,5,FALSE))</f>
        <v>0</v>
      </c>
      <c r="P77" s="23">
        <f>IF(E77="","",VLOOKUP(E77,'Base Datos'!$A$2:$M$150,6,FALSE))</f>
        <v>0</v>
      </c>
      <c r="Q77" s="23">
        <f>IF(E77="","",VLOOKUP(E77,'Base Datos'!$A$2:$M$150,7,FALSE))</f>
        <v>0</v>
      </c>
      <c r="R77" s="40">
        <f>IF(E77="","",VLOOKUP(E77,'Base Datos'!$A$2:$M$150,8,FALSE))</f>
        <v>0</v>
      </c>
      <c r="S77" s="40">
        <f>IF(E77="","",VLOOKUP(E77,'Base Datos'!$A$2:$M$150,9,FALSE))</f>
        <v>0</v>
      </c>
      <c r="T77" s="33">
        <f>IF(E77="","",(H77*I77)-(J77+K77))</f>
        <v>0</v>
      </c>
      <c r="U77" s="33">
        <f>IF(E77="","",(I77*R77)/1000)</f>
        <v>0</v>
      </c>
      <c r="V77" s="123">
        <f>IF(G77="",0,(G77*H77)/3600)</f>
        <v>0</v>
      </c>
      <c r="W77" s="45">
        <f>IFERROR(IF(E77="","",(H77/P77)),0)</f>
        <v>0</v>
      </c>
      <c r="X77" s="94">
        <f>WEEKDAY(A77,1)</f>
        <v>3</v>
      </c>
      <c r="Y77" s="120">
        <f>MONTH(A77)</f>
        <v>7</v>
      </c>
      <c r="Z77" s="125">
        <f>WEEKNUM(A77)-WEEKNUM(DATE(YEAR(A77),MONTH(A77),1))+1</f>
        <v>5</v>
      </c>
      <c r="AA77" s="126">
        <f>IF(V77="",0,V77/8)</f>
        <v>0</v>
      </c>
      <c r="AB77" s="125">
        <f>IF(E77="02PZ03405",0,1)</f>
        <v>1</v>
      </c>
    </row>
    <row r="78" spans="1:28" x14ac:dyDescent="0.2">
      <c r="A78" s="37">
        <v>44769</v>
      </c>
      <c r="B78" s="31" t="s">
        <v>86</v>
      </c>
      <c r="C78" s="31" t="s">
        <v>287</v>
      </c>
      <c r="D78" s="38">
        <v>1</v>
      </c>
      <c r="E78" s="39" t="s">
        <v>201</v>
      </c>
      <c r="F78" s="33" t="str">
        <f>IF(E78="","",VLOOKUP(E78,'Base Datos'!$A$2:$M$150,2,FALSE))</f>
        <v>Problema molde</v>
      </c>
      <c r="G78" s="99"/>
      <c r="H78" s="102"/>
      <c r="I78" s="32"/>
      <c r="J78" s="32"/>
      <c r="K78" s="31"/>
      <c r="L78" s="39"/>
      <c r="M78" s="33">
        <f>IF(E78="","",VLOOKUP(E78,'Base Datos'!$A$2:$M$150,3,FALSE))</f>
        <v>0</v>
      </c>
      <c r="N78" s="23">
        <f>IF(E78="","",VLOOKUP(E78,'Base Datos'!$A$2:$M$150,4,FALSE))</f>
        <v>0</v>
      </c>
      <c r="O78" s="23">
        <f>IF(E78="","",VLOOKUP(E78,'Base Datos'!$A$2:$M$150,5,FALSE))</f>
        <v>0</v>
      </c>
      <c r="P78" s="23">
        <f>IF(E78="","",VLOOKUP(E78,'Base Datos'!$A$2:$M$150,6,FALSE))</f>
        <v>0</v>
      </c>
      <c r="Q78" s="23">
        <f>IF(E78="","",VLOOKUP(E78,'Base Datos'!$A$2:$M$150,7,FALSE))</f>
        <v>0</v>
      </c>
      <c r="R78" s="40">
        <f>IF(E78="","",VLOOKUP(E78,'Base Datos'!$A$2:$M$150,8,FALSE))</f>
        <v>0</v>
      </c>
      <c r="S78" s="40">
        <f>IF(E78="","",VLOOKUP(E78,'Base Datos'!$A$2:$M$150,9,FALSE))</f>
        <v>0</v>
      </c>
      <c r="T78" s="33">
        <f>IF(E78="","",(H78*I78)-(J78+K78))</f>
        <v>0</v>
      </c>
      <c r="U78" s="33">
        <f>IF(E78="","",(I78*R78)/1000)</f>
        <v>0</v>
      </c>
      <c r="V78" s="123">
        <f>IF(G78="",0,(G78*H78)/3600)</f>
        <v>0</v>
      </c>
      <c r="W78" s="45">
        <f>IFERROR(IF(E78="","",(H78/P78)),0)</f>
        <v>0</v>
      </c>
      <c r="X78" s="94">
        <f>WEEKDAY(A78,1)</f>
        <v>4</v>
      </c>
      <c r="Y78" s="120">
        <f>MONTH(A78)</f>
        <v>7</v>
      </c>
      <c r="Z78" s="125">
        <f>WEEKNUM(A78)-WEEKNUM(DATE(YEAR(A78),MONTH(A78),1))+1</f>
        <v>5</v>
      </c>
      <c r="AA78" s="126">
        <f>IF(V78="",0,V78/8)</f>
        <v>0</v>
      </c>
      <c r="AB78" s="125">
        <f>IF(E78="02PZ03405",0,1)</f>
        <v>1</v>
      </c>
    </row>
    <row r="79" spans="1:28" x14ac:dyDescent="0.2">
      <c r="A79" s="37">
        <v>44756</v>
      </c>
      <c r="B79" s="31" t="s">
        <v>34</v>
      </c>
      <c r="C79" s="31" t="s">
        <v>89</v>
      </c>
      <c r="D79" s="38">
        <v>4</v>
      </c>
      <c r="E79" s="39" t="s">
        <v>201</v>
      </c>
      <c r="F79" s="33" t="str">
        <f>IF(E79="","",VLOOKUP(E79,'Base Datos'!$A$2:$M$150,2,FALSE))</f>
        <v>Problema molde</v>
      </c>
      <c r="G79" s="32"/>
      <c r="H79" s="102"/>
      <c r="I79" s="32"/>
      <c r="J79" s="32"/>
      <c r="K79" s="31"/>
      <c r="L79" s="39"/>
      <c r="M79" s="33">
        <f>IF(E79="","",VLOOKUP(E79,'Base Datos'!$A$2:$M$150,3,FALSE))</f>
        <v>0</v>
      </c>
      <c r="N79" s="23">
        <f>IF(E79="","",VLOOKUP(E79,'Base Datos'!$A$2:$M$150,4,FALSE))</f>
        <v>0</v>
      </c>
      <c r="O79" s="23">
        <f>IF(E79="","",VLOOKUP(E79,'Base Datos'!$A$2:$M$150,5,FALSE))</f>
        <v>0</v>
      </c>
      <c r="P79" s="23">
        <f>IF(E79="","",VLOOKUP(E79,'Base Datos'!$A$2:$M$150,6,FALSE))</f>
        <v>0</v>
      </c>
      <c r="Q79" s="23">
        <f>IF(E79="","",VLOOKUP(E79,'Base Datos'!$A$2:$M$150,7,FALSE))</f>
        <v>0</v>
      </c>
      <c r="R79" s="40">
        <f>IF(E79="","",VLOOKUP(E79,'Base Datos'!$A$2:$M$150,8,FALSE))</f>
        <v>0</v>
      </c>
      <c r="S79" s="40">
        <f>IF(E79="","",VLOOKUP(E79,'Base Datos'!$A$2:$M$150,9,FALSE))</f>
        <v>0</v>
      </c>
      <c r="T79" s="33">
        <f>IF(E79="","",(H79*I79)-(J79+K79))</f>
        <v>0</v>
      </c>
      <c r="U79" s="33">
        <f>IF(E79="","",(I79*R79)/1000)</f>
        <v>0</v>
      </c>
      <c r="V79" s="123">
        <f>IF(G79="",0,(G79*H79)/3600)</f>
        <v>0</v>
      </c>
      <c r="W79" s="45">
        <f>IFERROR(IF(E79="","",(H79/P79)),0)</f>
        <v>0</v>
      </c>
      <c r="X79" s="94">
        <f>WEEKDAY(A79,1)</f>
        <v>5</v>
      </c>
      <c r="Y79" s="120">
        <f>MONTH(A79)</f>
        <v>7</v>
      </c>
      <c r="Z79" s="125">
        <f>WEEKNUM(A79)-WEEKNUM(DATE(YEAR(A79),MONTH(A79),1))+1</f>
        <v>3</v>
      </c>
      <c r="AA79" s="126">
        <f>IF(V79="",0,V79/8)</f>
        <v>0</v>
      </c>
      <c r="AB79" s="125">
        <f>IF(E79="02PZ03405",0,1)</f>
        <v>1</v>
      </c>
    </row>
    <row r="80" spans="1:28" x14ac:dyDescent="0.2">
      <c r="A80" s="37">
        <v>44771</v>
      </c>
      <c r="B80" s="31" t="s">
        <v>34</v>
      </c>
      <c r="C80" s="31" t="s">
        <v>35</v>
      </c>
      <c r="D80" s="38">
        <v>5</v>
      </c>
      <c r="E80" s="39" t="s">
        <v>182</v>
      </c>
      <c r="F80" s="33" t="s">
        <v>265</v>
      </c>
      <c r="G80" s="99"/>
      <c r="H80" s="102"/>
      <c r="I80" s="32"/>
      <c r="J80" s="32"/>
      <c r="K80" s="31"/>
      <c r="L80" s="39"/>
      <c r="M80" s="33">
        <f>IF(E80="","",VLOOKUP(E80,'Base Datos'!$A$2:$M$150,3,FALSE))</f>
        <v>0</v>
      </c>
      <c r="N80" s="23">
        <f>IF(E80="","",VLOOKUP(E80,'Base Datos'!$A$2:$M$150,4,FALSE))</f>
        <v>0</v>
      </c>
      <c r="O80" s="23">
        <f>IF(E80="","",VLOOKUP(E80,'Base Datos'!$A$2:$M$150,5,FALSE))</f>
        <v>0</v>
      </c>
      <c r="P80" s="23">
        <f>IF(E80="","",VLOOKUP(E80,'Base Datos'!$A$2:$M$150,6,FALSE))</f>
        <v>0</v>
      </c>
      <c r="Q80" s="23">
        <f>IF(E80="","",VLOOKUP(E80,'Base Datos'!$A$2:$M$150,7,FALSE))</f>
        <v>0</v>
      </c>
      <c r="R80" s="40">
        <f>IF(E80="","",VLOOKUP(E80,'Base Datos'!$A$2:$M$150,8,FALSE))</f>
        <v>0</v>
      </c>
      <c r="S80" s="40">
        <f>IF(E80="","",VLOOKUP(E80,'Base Datos'!$A$2:$M$150,9,FALSE))</f>
        <v>0</v>
      </c>
      <c r="T80" s="33">
        <f>IF(E80="","",(H80*I80)-(J80+K80))</f>
        <v>0</v>
      </c>
      <c r="U80" s="33">
        <f>IF(E80="","",(I80*R80)/1000)</f>
        <v>0</v>
      </c>
      <c r="V80" s="123">
        <f>IF(G80="",0,(G80*H80)/3600)</f>
        <v>0</v>
      </c>
      <c r="W80" s="45">
        <f>IFERROR(IF(E80="","",(H80/P80)),0)</f>
        <v>0</v>
      </c>
      <c r="X80" s="94">
        <f>WEEKDAY(A80,1)</f>
        <v>6</v>
      </c>
      <c r="Y80" s="120">
        <f>MONTH(A80)</f>
        <v>7</v>
      </c>
      <c r="Z80" s="125">
        <f>WEEKNUM(A80)-WEEKNUM(DATE(YEAR(A80),MONTH(A80),1))+1</f>
        <v>5</v>
      </c>
      <c r="AA80" s="126">
        <f>IF(V80="",0,V80/8)</f>
        <v>0</v>
      </c>
      <c r="AB80" s="125">
        <f>IF(E80="02PZ03405",0,1)</f>
        <v>1</v>
      </c>
    </row>
    <row r="81" spans="1:28" x14ac:dyDescent="0.2">
      <c r="A81" s="37">
        <v>44777</v>
      </c>
      <c r="B81" s="31" t="s">
        <v>87</v>
      </c>
      <c r="C81" s="31" t="s">
        <v>92</v>
      </c>
      <c r="D81" s="38">
        <v>4</v>
      </c>
      <c r="E81" s="39" t="s">
        <v>182</v>
      </c>
      <c r="F81" s="33" t="str">
        <f>IF(E81="","",VLOOKUP(E81,'Base Datos'!$A$2:$M$150,2,FALSE))</f>
        <v>Problema con Inyectora</v>
      </c>
      <c r="G81" s="99"/>
      <c r="H81" s="102"/>
      <c r="I81" s="32">
        <v>1</v>
      </c>
      <c r="J81" s="32"/>
      <c r="K81" s="31"/>
      <c r="L81" s="39">
        <v>184975</v>
      </c>
      <c r="M81" s="33">
        <f>IF(E81="","",VLOOKUP(E81,'Base Datos'!$A$2:$M$150,3,FALSE))</f>
        <v>0</v>
      </c>
      <c r="N81" s="23">
        <f>IF(E81="","",VLOOKUP(E81,'Base Datos'!$A$2:$M$150,4,FALSE))</f>
        <v>0</v>
      </c>
      <c r="O81" s="23">
        <f>IF(E81="","",VLOOKUP(E81,'Base Datos'!$A$2:$M$150,5,FALSE))</f>
        <v>0</v>
      </c>
      <c r="P81" s="23">
        <f>IF(E81="","",VLOOKUP(E81,'Base Datos'!$A$2:$M$150,6,FALSE))</f>
        <v>0</v>
      </c>
      <c r="Q81" s="23">
        <f>IF(E81="","",VLOOKUP(E81,'Base Datos'!$A$2:$M$150,7,FALSE))</f>
        <v>0</v>
      </c>
      <c r="R81" s="40">
        <f>IF(E81="","",VLOOKUP(E81,'Base Datos'!$A$2:$M$150,8,FALSE))</f>
        <v>0</v>
      </c>
      <c r="S81" s="40">
        <f>IF(E81="","",VLOOKUP(E81,'Base Datos'!$A$2:$M$150,9,FALSE))</f>
        <v>0</v>
      </c>
      <c r="T81" s="33">
        <f>IF(E81="","",(H81*I81)-(J81+K81))</f>
        <v>0</v>
      </c>
      <c r="U81" s="33">
        <f>IF(E81="","",(I81*R81)/1000)</f>
        <v>0</v>
      </c>
      <c r="V81" s="123">
        <f>IF(G81="",0,(G81*H81)/3600)</f>
        <v>0</v>
      </c>
      <c r="W81" s="45">
        <f>IFERROR(IF(E81="","",(H81/P81)),0)</f>
        <v>0</v>
      </c>
      <c r="X81" s="23">
        <f>WEEKDAY(A81,1)</f>
        <v>5</v>
      </c>
      <c r="Y81" s="120">
        <f>MONTH(A81)</f>
        <v>8</v>
      </c>
      <c r="Z81" s="125">
        <f>WEEKNUM(A81)-WEEKNUM(DATE(YEAR(A81),MONTH(A81),1))+1</f>
        <v>1</v>
      </c>
      <c r="AA81" s="126">
        <f>IF(V81="",0,V81/8)</f>
        <v>0</v>
      </c>
      <c r="AB81" s="125">
        <f>IF(E81="02PZ03405",0,1)</f>
        <v>1</v>
      </c>
    </row>
    <row r="82" spans="1:28" x14ac:dyDescent="0.2">
      <c r="A82" s="37">
        <v>44777</v>
      </c>
      <c r="B82" s="31" t="s">
        <v>34</v>
      </c>
      <c r="C82" s="31" t="s">
        <v>89</v>
      </c>
      <c r="D82" s="38">
        <v>4</v>
      </c>
      <c r="E82" s="39" t="s">
        <v>182</v>
      </c>
      <c r="F82" s="33" t="str">
        <f>IF(E82="","",VLOOKUP(E82,'Base Datos'!$A$2:$M$150,2,FALSE))</f>
        <v>Problema con Inyectora</v>
      </c>
      <c r="G82" s="99"/>
      <c r="H82" s="102"/>
      <c r="I82" s="32"/>
      <c r="J82" s="32"/>
      <c r="K82" s="31"/>
      <c r="L82" s="39"/>
      <c r="M82" s="33">
        <f>IF(E82="","",VLOOKUP(E82,'Base Datos'!$A$2:$M$150,3,FALSE))</f>
        <v>0</v>
      </c>
      <c r="N82" s="23">
        <f>IF(E82="","",VLOOKUP(E82,'Base Datos'!$A$2:$M$150,4,FALSE))</f>
        <v>0</v>
      </c>
      <c r="O82" s="23">
        <f>IF(E82="","",VLOOKUP(E82,'Base Datos'!$A$2:$M$150,5,FALSE))</f>
        <v>0</v>
      </c>
      <c r="P82" s="23">
        <f>IF(E82="","",VLOOKUP(E82,'Base Datos'!$A$2:$M$150,6,FALSE))</f>
        <v>0</v>
      </c>
      <c r="Q82" s="23">
        <f>IF(E82="","",VLOOKUP(E82,'Base Datos'!$A$2:$M$150,7,FALSE))</f>
        <v>0</v>
      </c>
      <c r="R82" s="40">
        <f>IF(E82="","",VLOOKUP(E82,'Base Datos'!$A$2:$M$150,8,FALSE))</f>
        <v>0</v>
      </c>
      <c r="S82" s="40">
        <f>IF(E82="","",VLOOKUP(E82,'Base Datos'!$A$2:$M$150,9,FALSE))</f>
        <v>0</v>
      </c>
      <c r="T82" s="33">
        <f>IF(E82="","",(H82*I82)-(J82+K82))</f>
        <v>0</v>
      </c>
      <c r="U82" s="33">
        <f>IF(E82="","",(I82*R82)/1000)</f>
        <v>0</v>
      </c>
      <c r="V82" s="123">
        <f>IF(G82="",0,(G82*H82)/3600)</f>
        <v>0</v>
      </c>
      <c r="W82" s="45">
        <f>IFERROR(IF(E82="","",(H82/P82)),0)</f>
        <v>0</v>
      </c>
      <c r="X82" s="23">
        <f>WEEKDAY(A82,1)</f>
        <v>5</v>
      </c>
      <c r="Y82" s="120">
        <f>MONTH(A82)</f>
        <v>8</v>
      </c>
      <c r="Z82" s="125">
        <f>WEEKNUM(A82)-WEEKNUM(DATE(YEAR(A82),MONTH(A82),1))+1</f>
        <v>1</v>
      </c>
      <c r="AA82" s="126">
        <f>IF(V82="",0,V82/8)</f>
        <v>0</v>
      </c>
      <c r="AB82" s="125">
        <f>IF(E82="02PZ03405",0,1)</f>
        <v>1</v>
      </c>
    </row>
    <row r="83" spans="1:28" x14ac:dyDescent="0.2">
      <c r="A83" s="37">
        <v>44776</v>
      </c>
      <c r="B83" s="31" t="s">
        <v>87</v>
      </c>
      <c r="C83" s="31" t="s">
        <v>93</v>
      </c>
      <c r="D83" s="38">
        <v>5</v>
      </c>
      <c r="E83" s="39" t="s">
        <v>182</v>
      </c>
      <c r="F83" s="33" t="str">
        <f>IF(E83="","",VLOOKUP(E83,'Base Datos'!$A$2:$M$150,2,FALSE))</f>
        <v>Problema con Inyectora</v>
      </c>
      <c r="G83" s="99"/>
      <c r="H83" s="102"/>
      <c r="I83" s="32"/>
      <c r="J83" s="32"/>
      <c r="K83" s="31"/>
      <c r="L83" s="39"/>
      <c r="M83" s="33">
        <f>IF(E83="","",VLOOKUP(E83,'Base Datos'!$A$2:$M$150,3,FALSE))</f>
        <v>0</v>
      </c>
      <c r="N83" s="23">
        <f>IF(E83="","",VLOOKUP(E83,'Base Datos'!$A$2:$M$150,4,FALSE))</f>
        <v>0</v>
      </c>
      <c r="O83" s="23">
        <f>IF(E83="","",VLOOKUP(E83,'Base Datos'!$A$2:$M$150,5,FALSE))</f>
        <v>0</v>
      </c>
      <c r="P83" s="23">
        <f>IF(E83="","",VLOOKUP(E83,'Base Datos'!$A$2:$M$150,6,FALSE))</f>
        <v>0</v>
      </c>
      <c r="Q83" s="23">
        <f>IF(E83="","",VLOOKUP(E83,'Base Datos'!$A$2:$M$150,7,FALSE))</f>
        <v>0</v>
      </c>
      <c r="R83" s="40">
        <f>IF(E83="","",VLOOKUP(E83,'Base Datos'!$A$2:$M$150,8,FALSE))</f>
        <v>0</v>
      </c>
      <c r="S83" s="40">
        <f>IF(E83="","",VLOOKUP(E83,'Base Datos'!$A$2:$M$150,9,FALSE))</f>
        <v>0</v>
      </c>
      <c r="T83" s="33">
        <f>IF(E83="","",(H83*I83)-(J83+K83))</f>
        <v>0</v>
      </c>
      <c r="U83" s="33">
        <f>IF(E83="","",(I83*R83)/1000)</f>
        <v>0</v>
      </c>
      <c r="V83" s="123">
        <f>IF(G83="",0,(G83*H83)/3600)</f>
        <v>0</v>
      </c>
      <c r="W83" s="45">
        <f>IFERROR(IF(E83="","",(H83/P83)),0)</f>
        <v>0</v>
      </c>
      <c r="X83" s="23">
        <f>WEEKDAY(A83,1)</f>
        <v>4</v>
      </c>
      <c r="Y83" s="120">
        <f>MONTH(A83)</f>
        <v>8</v>
      </c>
      <c r="Z83" s="125">
        <f>WEEKNUM(A83)-WEEKNUM(DATE(YEAR(A83),MONTH(A83),1))+1</f>
        <v>1</v>
      </c>
      <c r="AA83" s="126">
        <f>IF(V83="",0,V83/8)</f>
        <v>0</v>
      </c>
      <c r="AB83" s="125">
        <f>IF(E83="02PZ03405",0,1)</f>
        <v>1</v>
      </c>
    </row>
    <row r="84" spans="1:28" x14ac:dyDescent="0.2">
      <c r="A84" s="37">
        <v>44762</v>
      </c>
      <c r="B84" s="31" t="s">
        <v>34</v>
      </c>
      <c r="C84" s="31" t="s">
        <v>89</v>
      </c>
      <c r="D84" s="38">
        <v>2</v>
      </c>
      <c r="E84" s="39" t="s">
        <v>182</v>
      </c>
      <c r="F84" s="33" t="str">
        <f>IF(E84="","",VLOOKUP(E84,'Base Datos'!$A$2:$M$150,2,FALSE))</f>
        <v>Problema con Inyectora</v>
      </c>
      <c r="G84" s="99"/>
      <c r="H84" s="102"/>
      <c r="I84" s="32"/>
      <c r="J84" s="32"/>
      <c r="K84" s="31"/>
      <c r="L84" s="39"/>
      <c r="M84" s="33">
        <f>IF(E84="","",VLOOKUP(E84,'Base Datos'!$A$2:$M$150,3,FALSE))</f>
        <v>0</v>
      </c>
      <c r="N84" s="23">
        <f>IF(E84="","",VLOOKUP(E84,'Base Datos'!$A$2:$M$150,4,FALSE))</f>
        <v>0</v>
      </c>
      <c r="O84" s="23">
        <f>IF(E84="","",VLOOKUP(E84,'Base Datos'!$A$2:$M$150,5,FALSE))</f>
        <v>0</v>
      </c>
      <c r="P84" s="23">
        <f>IF(E84="","",VLOOKUP(E84,'Base Datos'!$A$2:$M$150,6,FALSE))</f>
        <v>0</v>
      </c>
      <c r="Q84" s="23">
        <f>IF(E84="","",VLOOKUP(E84,'Base Datos'!$A$2:$M$150,7,FALSE))</f>
        <v>0</v>
      </c>
      <c r="R84" s="40">
        <f>IF(E84="","",VLOOKUP(E84,'Base Datos'!$A$2:$M$150,8,FALSE))</f>
        <v>0</v>
      </c>
      <c r="S84" s="40">
        <f>IF(E84="","",VLOOKUP(E84,'Base Datos'!$A$2:$M$150,9,FALSE))</f>
        <v>0</v>
      </c>
      <c r="T84" s="33">
        <f>IF(E84="","",(H84*I84)-(J84+K84))</f>
        <v>0</v>
      </c>
      <c r="U84" s="33">
        <f>IF(E84="","",(I84*R84)/1000)</f>
        <v>0</v>
      </c>
      <c r="V84" s="123">
        <f>IF(G84="",0,(G84*H84)/3600)</f>
        <v>0</v>
      </c>
      <c r="W84" s="45">
        <f>IFERROR(IF(E84="","",(H84/P84)),0)</f>
        <v>0</v>
      </c>
      <c r="X84" s="94">
        <f>WEEKDAY(A84,1)</f>
        <v>4</v>
      </c>
      <c r="Y84" s="120">
        <f>MONTH(A84)</f>
        <v>7</v>
      </c>
      <c r="Z84" s="125">
        <f>WEEKNUM(A84)-WEEKNUM(DATE(YEAR(A84),MONTH(A84),1))+1</f>
        <v>4</v>
      </c>
      <c r="AA84" s="126">
        <f>IF(V84="",0,V84/8)</f>
        <v>0</v>
      </c>
      <c r="AB84" s="125">
        <f>IF(E84="02PZ03405",0,1)</f>
        <v>1</v>
      </c>
    </row>
    <row r="85" spans="1:28" x14ac:dyDescent="0.2">
      <c r="A85" s="37">
        <v>44757</v>
      </c>
      <c r="B85" s="119" t="s">
        <v>34</v>
      </c>
      <c r="C85" s="31" t="s">
        <v>89</v>
      </c>
      <c r="D85" s="38">
        <v>1</v>
      </c>
      <c r="E85" s="39" t="s">
        <v>182</v>
      </c>
      <c r="F85" s="33" t="str">
        <f>IF(E85="","",VLOOKUP(E85,'Base Datos'!$A$2:$M$150,2,FALSE))</f>
        <v>Problema con Inyectora</v>
      </c>
      <c r="G85" s="99"/>
      <c r="H85" s="102"/>
      <c r="I85" s="32"/>
      <c r="J85" s="32"/>
      <c r="K85" s="31"/>
      <c r="L85" s="39"/>
      <c r="M85" s="33">
        <f>IF(E85="","",VLOOKUP(E85,'Base Datos'!$A$2:$M$150,3,FALSE))</f>
        <v>0</v>
      </c>
      <c r="N85" s="23">
        <f>IF(E85="","",VLOOKUP(E85,'Base Datos'!$A$2:$M$150,4,FALSE))</f>
        <v>0</v>
      </c>
      <c r="O85" s="23">
        <f>IF(E85="","",VLOOKUP(E85,'Base Datos'!$A$2:$M$150,5,FALSE))</f>
        <v>0</v>
      </c>
      <c r="P85" s="23">
        <f>IF(E85="","",VLOOKUP(E85,'Base Datos'!$A$2:$M$150,6,FALSE))</f>
        <v>0</v>
      </c>
      <c r="Q85" s="23">
        <f>IF(E85="","",VLOOKUP(E85,'Base Datos'!$A$2:$M$150,7,FALSE))</f>
        <v>0</v>
      </c>
      <c r="R85" s="40">
        <f>IF(E85="","",VLOOKUP(E85,'Base Datos'!$A$2:$M$150,8,FALSE))</f>
        <v>0</v>
      </c>
      <c r="S85" s="40">
        <f>IF(E85="","",VLOOKUP(E85,'Base Datos'!$A$2:$M$150,9,FALSE))</f>
        <v>0</v>
      </c>
      <c r="T85" s="33">
        <f>IF(E85="","",(H85*I85)-(J85+K85))</f>
        <v>0</v>
      </c>
      <c r="U85" s="33">
        <f>IF(E85="","",(I85*R85)/1000)</f>
        <v>0</v>
      </c>
      <c r="V85" s="123">
        <f>IF(G85="",0,(G85*H85)/3600)</f>
        <v>0</v>
      </c>
      <c r="W85" s="45">
        <f>IFERROR(IF(E85="","",(H85/P85)),0)</f>
        <v>0</v>
      </c>
      <c r="X85" s="94">
        <f>WEEKDAY(A85,1)</f>
        <v>6</v>
      </c>
      <c r="Y85" s="120">
        <f>MONTH(A85)</f>
        <v>7</v>
      </c>
      <c r="Z85" s="125">
        <f>WEEKNUM(A85)-WEEKNUM(DATE(YEAR(A85),MONTH(A85),1))+1</f>
        <v>3</v>
      </c>
      <c r="AA85" s="126">
        <f>IF(V85="",0,V85/8)</f>
        <v>0</v>
      </c>
      <c r="AB85" s="125">
        <f>IF(E85="02PZ03405",0,1)</f>
        <v>1</v>
      </c>
    </row>
    <row r="86" spans="1:28" x14ac:dyDescent="0.2">
      <c r="A86" s="37">
        <v>44755</v>
      </c>
      <c r="B86" s="31" t="s">
        <v>86</v>
      </c>
      <c r="C86" s="31" t="s">
        <v>90</v>
      </c>
      <c r="D86" s="38">
        <v>4</v>
      </c>
      <c r="E86" s="39" t="s">
        <v>182</v>
      </c>
      <c r="F86" s="33" t="str">
        <f>IF(E86="","",VLOOKUP(E86,'Base Datos'!$A$2:$M$150,2,FALSE))</f>
        <v>Problema con Inyectora</v>
      </c>
      <c r="G86" s="32"/>
      <c r="H86" s="102"/>
      <c r="I86" s="32"/>
      <c r="J86" s="32"/>
      <c r="K86" s="31"/>
      <c r="L86" s="39"/>
      <c r="M86" s="33">
        <f>IF(E86="","",VLOOKUP(E86,'Base Datos'!$A$2:$M$150,3,FALSE))</f>
        <v>0</v>
      </c>
      <c r="N86" s="23">
        <f>IF(E86="","",VLOOKUP(E86,'Base Datos'!$A$2:$M$150,4,FALSE))</f>
        <v>0</v>
      </c>
      <c r="O86" s="23">
        <f>IF(E86="","",VLOOKUP(E86,'Base Datos'!$A$2:$M$150,5,FALSE))</f>
        <v>0</v>
      </c>
      <c r="P86" s="23">
        <f>IF(E86="","",VLOOKUP(E86,'Base Datos'!$A$2:$M$150,6,FALSE))</f>
        <v>0</v>
      </c>
      <c r="Q86" s="23">
        <f>IF(E86="","",VLOOKUP(E86,'Base Datos'!$A$2:$M$150,7,FALSE))</f>
        <v>0</v>
      </c>
      <c r="R86" s="40">
        <f>IF(E86="","",VLOOKUP(E86,'Base Datos'!$A$2:$M$150,8,FALSE))</f>
        <v>0</v>
      </c>
      <c r="S86" s="40">
        <f>IF(E86="","",VLOOKUP(E86,'Base Datos'!$A$2:$M$150,9,FALSE))</f>
        <v>0</v>
      </c>
      <c r="T86" s="33">
        <f>IF(E86="","",(H86*I86)-(J86+K86))</f>
        <v>0</v>
      </c>
      <c r="U86" s="33">
        <f>IF(E86="","",(I86*R86)/1000)</f>
        <v>0</v>
      </c>
      <c r="V86" s="123">
        <f>IF(G86="",0,(G86*H86)/3600)</f>
        <v>0</v>
      </c>
      <c r="W86" s="45">
        <f>IFERROR(IF(E86="","",(H86/P86)),0)</f>
        <v>0</v>
      </c>
      <c r="X86" s="94">
        <f>WEEKDAY(A86,1)</f>
        <v>4</v>
      </c>
      <c r="Y86" s="120">
        <f>MONTH(A86)</f>
        <v>7</v>
      </c>
      <c r="Z86" s="125">
        <f>WEEKNUM(A86)-WEEKNUM(DATE(YEAR(A86),MONTH(A86),1))+1</f>
        <v>3</v>
      </c>
      <c r="AA86" s="126">
        <f>IF(V86="",0,V86/8)</f>
        <v>0</v>
      </c>
      <c r="AB86" s="125">
        <f>IF(E86="02PZ03405",0,1)</f>
        <v>1</v>
      </c>
    </row>
    <row r="87" spans="1:28" x14ac:dyDescent="0.2">
      <c r="A87" s="37">
        <v>44755</v>
      </c>
      <c r="B87" s="31" t="s">
        <v>86</v>
      </c>
      <c r="C87" s="31" t="s">
        <v>91</v>
      </c>
      <c r="D87" s="38">
        <v>1</v>
      </c>
      <c r="E87" s="39" t="s">
        <v>182</v>
      </c>
      <c r="F87" s="33" t="str">
        <f>IF(E87="","",VLOOKUP(E87,'Base Datos'!$A$2:$M$150,2,FALSE))</f>
        <v>Problema con Inyectora</v>
      </c>
      <c r="G87" s="32"/>
      <c r="H87" s="102"/>
      <c r="I87" s="32"/>
      <c r="J87" s="32"/>
      <c r="K87" s="31"/>
      <c r="L87" s="39"/>
      <c r="M87" s="33">
        <f>IF(E87="","",VLOOKUP(E87,'Base Datos'!$A$2:$M$150,3,FALSE))</f>
        <v>0</v>
      </c>
      <c r="N87" s="23">
        <f>IF(E87="","",VLOOKUP(E87,'Base Datos'!$A$2:$M$150,4,FALSE))</f>
        <v>0</v>
      </c>
      <c r="O87" s="23">
        <f>IF(E87="","",VLOOKUP(E87,'Base Datos'!$A$2:$M$150,5,FALSE))</f>
        <v>0</v>
      </c>
      <c r="P87" s="23">
        <f>IF(E87="","",VLOOKUP(E87,'Base Datos'!$A$2:$M$150,6,FALSE))</f>
        <v>0</v>
      </c>
      <c r="Q87" s="23">
        <f>IF(E87="","",VLOOKUP(E87,'Base Datos'!$A$2:$M$150,7,FALSE))</f>
        <v>0</v>
      </c>
      <c r="R87" s="40">
        <f>IF(E87="","",VLOOKUP(E87,'Base Datos'!$A$2:$M$150,8,FALSE))</f>
        <v>0</v>
      </c>
      <c r="S87" s="40">
        <f>IF(E87="","",VLOOKUP(E87,'Base Datos'!$A$2:$M$150,9,FALSE))</f>
        <v>0</v>
      </c>
      <c r="T87" s="33">
        <f>IF(E87="","",(H87*I87)-(J87+K87))</f>
        <v>0</v>
      </c>
      <c r="U87" s="33">
        <f>IF(E87="","",(I87*R87)/1000)</f>
        <v>0</v>
      </c>
      <c r="V87" s="123">
        <f>IF(G87="",0,(G87*H87)/3600)</f>
        <v>0</v>
      </c>
      <c r="W87" s="45">
        <f>IFERROR(IF(E87="","",(H87/P87)),0)</f>
        <v>0</v>
      </c>
      <c r="X87" s="94">
        <f>WEEKDAY(A87,1)</f>
        <v>4</v>
      </c>
      <c r="Y87" s="120">
        <f>MONTH(A87)</f>
        <v>7</v>
      </c>
      <c r="Z87" s="125">
        <f>WEEKNUM(A87)-WEEKNUM(DATE(YEAR(A87),MONTH(A87),1))+1</f>
        <v>3</v>
      </c>
      <c r="AA87" s="126">
        <f>IF(V87="",0,V87/8)</f>
        <v>0</v>
      </c>
      <c r="AB87" s="125">
        <f>IF(E87="02PZ03405",0,1)</f>
        <v>1</v>
      </c>
    </row>
    <row r="88" spans="1:28" x14ac:dyDescent="0.2">
      <c r="A88" s="37">
        <v>44755</v>
      </c>
      <c r="B88" s="31" t="s">
        <v>34</v>
      </c>
      <c r="C88" s="31" t="s">
        <v>89</v>
      </c>
      <c r="D88" s="38">
        <v>4</v>
      </c>
      <c r="E88" s="39" t="s">
        <v>182</v>
      </c>
      <c r="F88" s="33" t="str">
        <f>IF(E88="","",VLOOKUP(E88,'Base Datos'!$A$2:$M$150,2,FALSE))</f>
        <v>Problema con Inyectora</v>
      </c>
      <c r="G88" s="32"/>
      <c r="H88" s="102"/>
      <c r="I88" s="32"/>
      <c r="J88" s="32"/>
      <c r="K88" s="31"/>
      <c r="L88" s="39"/>
      <c r="M88" s="33">
        <f>IF(E88="","",VLOOKUP(E88,'Base Datos'!$A$2:$M$150,3,FALSE))</f>
        <v>0</v>
      </c>
      <c r="N88" s="23">
        <f>IF(E88="","",VLOOKUP(E88,'Base Datos'!$A$2:$M$150,4,FALSE))</f>
        <v>0</v>
      </c>
      <c r="O88" s="23">
        <f>IF(E88="","",VLOOKUP(E88,'Base Datos'!$A$2:$M$150,5,FALSE))</f>
        <v>0</v>
      </c>
      <c r="P88" s="23">
        <f>IF(E88="","",VLOOKUP(E88,'Base Datos'!$A$2:$M$150,6,FALSE))</f>
        <v>0</v>
      </c>
      <c r="Q88" s="23">
        <f>IF(E88="","",VLOOKUP(E88,'Base Datos'!$A$2:$M$150,7,FALSE))</f>
        <v>0</v>
      </c>
      <c r="R88" s="40">
        <f>IF(E88="","",VLOOKUP(E88,'Base Datos'!$A$2:$M$150,8,FALSE))</f>
        <v>0</v>
      </c>
      <c r="S88" s="40">
        <f>IF(E88="","",VLOOKUP(E88,'Base Datos'!$A$2:$M$150,9,FALSE))</f>
        <v>0</v>
      </c>
      <c r="T88" s="33">
        <f>IF(E88="","",(H88*I88)-(J88+K88))</f>
        <v>0</v>
      </c>
      <c r="U88" s="33">
        <f>IF(E88="","",(I88*R88)/1000)</f>
        <v>0</v>
      </c>
      <c r="V88" s="123">
        <f>IF(G88="",0,(G88*H88)/3600)</f>
        <v>0</v>
      </c>
      <c r="W88" s="45">
        <f>IFERROR(IF(E88="","",(H88/P88)),0)</f>
        <v>0</v>
      </c>
      <c r="X88" s="94">
        <f>WEEKDAY(A88,1)</f>
        <v>4</v>
      </c>
      <c r="Y88" s="120">
        <f>MONTH(A88)</f>
        <v>7</v>
      </c>
      <c r="Z88" s="125">
        <f>WEEKNUM(A88)-WEEKNUM(DATE(YEAR(A88),MONTH(A88),1))+1</f>
        <v>3</v>
      </c>
      <c r="AA88" s="126">
        <f>IF(V88="",0,V88/8)</f>
        <v>0</v>
      </c>
      <c r="AB88" s="125">
        <f>IF(E88="02PZ03405",0,1)</f>
        <v>1</v>
      </c>
    </row>
    <row r="89" spans="1:28" x14ac:dyDescent="0.2">
      <c r="A89" s="37">
        <v>44775</v>
      </c>
      <c r="B89" s="31" t="s">
        <v>87</v>
      </c>
      <c r="C89" s="31" t="s">
        <v>92</v>
      </c>
      <c r="D89" s="38">
        <v>5</v>
      </c>
      <c r="E89" s="39" t="s">
        <v>182</v>
      </c>
      <c r="F89" s="33" t="str">
        <f>IF(E89="","",VLOOKUP(E89,'Base Datos'!$A$2:$M$150,2,FALSE))</f>
        <v>Problema con Inyectora</v>
      </c>
      <c r="G89" s="99">
        <v>0</v>
      </c>
      <c r="H89" s="102">
        <v>0</v>
      </c>
      <c r="I89" s="32">
        <v>0</v>
      </c>
      <c r="J89" s="32"/>
      <c r="K89" s="31">
        <v>0</v>
      </c>
      <c r="L89" s="39">
        <v>0</v>
      </c>
      <c r="M89" s="33">
        <f>IF(E89="","",VLOOKUP(E89,'Base Datos'!$A$2:$M$150,3,FALSE))</f>
        <v>0</v>
      </c>
      <c r="N89" s="23">
        <f>IF(E89="","",VLOOKUP(E89,'Base Datos'!$A$2:$M$150,4,FALSE))</f>
        <v>0</v>
      </c>
      <c r="O89" s="23">
        <f>IF(E89="","",VLOOKUP(E89,'Base Datos'!$A$2:$M$150,5,FALSE))</f>
        <v>0</v>
      </c>
      <c r="P89" s="23">
        <f>IF(E89="","",VLOOKUP(E89,'Base Datos'!$A$2:$M$150,6,FALSE))</f>
        <v>0</v>
      </c>
      <c r="Q89" s="23">
        <f>IF(E89="","",VLOOKUP(E89,'Base Datos'!$A$2:$M$150,7,FALSE))</f>
        <v>0</v>
      </c>
      <c r="R89" s="40">
        <f>IF(E89="","",VLOOKUP(E89,'Base Datos'!$A$2:$M$150,8,FALSE))</f>
        <v>0</v>
      </c>
      <c r="S89" s="40">
        <f>IF(E89="","",VLOOKUP(E89,'Base Datos'!$A$2:$M$150,9,FALSE))</f>
        <v>0</v>
      </c>
      <c r="T89" s="33">
        <f>IF(E89="","",(H89*I89)-(J89+K89))</f>
        <v>0</v>
      </c>
      <c r="U89" s="33">
        <f>IF(E89="","",(I89*R89)/1000)</f>
        <v>0</v>
      </c>
      <c r="V89" s="123">
        <f>IF(G89="",0,(G89*H89)/3600)</f>
        <v>0</v>
      </c>
      <c r="W89" s="45">
        <f>IFERROR(IF(E89="","",(H89/P89)),0)</f>
        <v>0</v>
      </c>
      <c r="X89" s="94">
        <f>WEEKDAY(A89,1)</f>
        <v>3</v>
      </c>
      <c r="Y89" s="120">
        <f>MONTH(A89)</f>
        <v>8</v>
      </c>
      <c r="Z89" s="125">
        <f>WEEKNUM(A89)-WEEKNUM(DATE(YEAR(A89),MONTH(A89),1))+1</f>
        <v>1</v>
      </c>
      <c r="AA89" s="126">
        <f>IF(V89="",0,V89/8)</f>
        <v>0</v>
      </c>
      <c r="AB89" s="125">
        <f>IF(E89="02PZ03405",0,1)</f>
        <v>1</v>
      </c>
    </row>
    <row r="90" spans="1:28" x14ac:dyDescent="0.2">
      <c r="A90" s="37">
        <v>44770</v>
      </c>
      <c r="B90" s="31" t="s">
        <v>87</v>
      </c>
      <c r="C90" s="31" t="s">
        <v>92</v>
      </c>
      <c r="D90" s="38">
        <v>5</v>
      </c>
      <c r="E90" s="39" t="s">
        <v>182</v>
      </c>
      <c r="F90" s="33" t="str">
        <f>IF(E90="","",VLOOKUP(E90,'Base Datos'!$A$2:$M$150,2,FALSE))</f>
        <v>Problema con Inyectora</v>
      </c>
      <c r="G90" s="99">
        <v>0</v>
      </c>
      <c r="H90" s="102">
        <v>0</v>
      </c>
      <c r="I90" s="32">
        <v>0</v>
      </c>
      <c r="J90" s="32"/>
      <c r="K90" s="31">
        <v>0</v>
      </c>
      <c r="L90" s="39">
        <v>0</v>
      </c>
      <c r="M90" s="33">
        <f>IF(E90="","",VLOOKUP(E90,'Base Datos'!$A$2:$M$150,3,FALSE))</f>
        <v>0</v>
      </c>
      <c r="N90" s="23">
        <f>IF(E90="","",VLOOKUP(E90,'Base Datos'!$A$2:$M$150,4,FALSE))</f>
        <v>0</v>
      </c>
      <c r="O90" s="23">
        <f>IF(E90="","",VLOOKUP(E90,'Base Datos'!$A$2:$M$150,5,FALSE))</f>
        <v>0</v>
      </c>
      <c r="P90" s="23">
        <f>IF(E90="","",VLOOKUP(E90,'Base Datos'!$A$2:$M$150,6,FALSE))</f>
        <v>0</v>
      </c>
      <c r="Q90" s="23">
        <f>IF(E90="","",VLOOKUP(E90,'Base Datos'!$A$2:$M$150,7,FALSE))</f>
        <v>0</v>
      </c>
      <c r="R90" s="40">
        <f>IF(E90="","",VLOOKUP(E90,'Base Datos'!$A$2:$M$150,8,FALSE))</f>
        <v>0</v>
      </c>
      <c r="S90" s="40">
        <f>IF(E90="","",VLOOKUP(E90,'Base Datos'!$A$2:$M$150,9,FALSE))</f>
        <v>0</v>
      </c>
      <c r="T90" s="33">
        <f>IF(E90="","",(H90*I90)-(J90+K90))</f>
        <v>0</v>
      </c>
      <c r="U90" s="33">
        <f>IF(E90="","",(I90*R90)/1000)</f>
        <v>0</v>
      </c>
      <c r="V90" s="123">
        <f>IF(G90="",0,(G90*H90)/3600)</f>
        <v>0</v>
      </c>
      <c r="W90" s="45">
        <f>IFERROR(IF(E90="","",(H90/P90)),0)</f>
        <v>0</v>
      </c>
      <c r="X90" s="94">
        <f>WEEKDAY(A90,1)</f>
        <v>5</v>
      </c>
      <c r="Y90" s="120">
        <f>MONTH(A90)</f>
        <v>7</v>
      </c>
      <c r="Z90" s="125">
        <f>WEEKNUM(A90)-WEEKNUM(DATE(YEAR(A90),MONTH(A90),1))+1</f>
        <v>5</v>
      </c>
      <c r="AA90" s="126">
        <f>IF(V90="",0,V90/8)</f>
        <v>0</v>
      </c>
      <c r="AB90" s="125">
        <f>IF(E90="02PZ03405",0,1)</f>
        <v>1</v>
      </c>
    </row>
    <row r="91" spans="1:28" x14ac:dyDescent="0.2">
      <c r="A91" s="37">
        <v>44755</v>
      </c>
      <c r="B91" s="31" t="s">
        <v>87</v>
      </c>
      <c r="C91" s="31" t="s">
        <v>92</v>
      </c>
      <c r="D91" s="38">
        <v>4</v>
      </c>
      <c r="E91" s="39" t="s">
        <v>182</v>
      </c>
      <c r="F91" s="33" t="str">
        <f>IF(E91="","",VLOOKUP(E91,'Base Datos'!$A$2:$M$150,2,FALSE))</f>
        <v>Problema con Inyectora</v>
      </c>
      <c r="G91" s="32">
        <v>0</v>
      </c>
      <c r="H91" s="102">
        <v>0</v>
      </c>
      <c r="I91" s="32">
        <v>0</v>
      </c>
      <c r="J91" s="32">
        <v>0</v>
      </c>
      <c r="K91" s="31">
        <v>10</v>
      </c>
      <c r="L91" s="39">
        <v>0</v>
      </c>
      <c r="M91" s="33">
        <f>IF(E91="","",VLOOKUP(E91,'Base Datos'!$A$2:$M$150,3,FALSE))</f>
        <v>0</v>
      </c>
      <c r="N91" s="23">
        <f>IF(E91="","",VLOOKUP(E91,'Base Datos'!$A$2:$M$150,4,FALSE))</f>
        <v>0</v>
      </c>
      <c r="O91" s="23">
        <f>IF(E91="","",VLOOKUP(E91,'Base Datos'!$A$2:$M$150,5,FALSE))</f>
        <v>0</v>
      </c>
      <c r="P91" s="23">
        <f>IF(E91="","",VLOOKUP(E91,'Base Datos'!$A$2:$M$150,6,FALSE))</f>
        <v>0</v>
      </c>
      <c r="Q91" s="23">
        <f>IF(E91="","",VLOOKUP(E91,'Base Datos'!$A$2:$M$150,7,FALSE))</f>
        <v>0</v>
      </c>
      <c r="R91" s="40">
        <f>IF(E91="","",VLOOKUP(E91,'Base Datos'!$A$2:$M$150,8,FALSE))</f>
        <v>0</v>
      </c>
      <c r="S91" s="40">
        <f>IF(E91="","",VLOOKUP(E91,'Base Datos'!$A$2:$M$150,9,FALSE))</f>
        <v>0</v>
      </c>
      <c r="T91" s="33">
        <f>IF(E91="","",(H91*I91)-(J91+K91))</f>
        <v>-10</v>
      </c>
      <c r="U91" s="33">
        <f>IF(E91="","",(I91*R91)/1000)</f>
        <v>0</v>
      </c>
      <c r="V91" s="123">
        <f>IF(G91="",0,(G91*H91)/3600)</f>
        <v>0</v>
      </c>
      <c r="W91" s="45">
        <f>IFERROR(IF(E91="","",(H91/P91)),0)</f>
        <v>0</v>
      </c>
      <c r="X91" s="94">
        <f>WEEKDAY(A91,1)</f>
        <v>4</v>
      </c>
      <c r="Y91" s="120">
        <f>MONTH(A91)</f>
        <v>7</v>
      </c>
      <c r="Z91" s="125">
        <f>WEEKNUM(A91)-WEEKNUM(DATE(YEAR(A91),MONTH(A91),1))+1</f>
        <v>3</v>
      </c>
      <c r="AA91" s="126">
        <f>IF(V91="",0,V91/8)</f>
        <v>0</v>
      </c>
      <c r="AB91" s="125">
        <f>IF(E91="02PZ03405",0,1)</f>
        <v>1</v>
      </c>
    </row>
    <row r="92" spans="1:28" x14ac:dyDescent="0.2">
      <c r="A92" s="37">
        <v>44755</v>
      </c>
      <c r="B92" s="31" t="s">
        <v>87</v>
      </c>
      <c r="C92" s="31" t="s">
        <v>92</v>
      </c>
      <c r="D92" s="38">
        <v>1</v>
      </c>
      <c r="E92" s="39" t="s">
        <v>182</v>
      </c>
      <c r="F92" s="33" t="str">
        <f>IF(E92="","",VLOOKUP(E92,'Base Datos'!$A$2:$M$150,2,FALSE))</f>
        <v>Problema con Inyectora</v>
      </c>
      <c r="G92" s="32"/>
      <c r="H92" s="102"/>
      <c r="I92" s="32"/>
      <c r="J92" s="32"/>
      <c r="K92" s="31"/>
      <c r="L92" s="39"/>
      <c r="M92" s="33">
        <f>IF(E92="","",VLOOKUP(E92,'Base Datos'!$A$2:$M$150,3,FALSE))</f>
        <v>0</v>
      </c>
      <c r="N92" s="23">
        <f>IF(E92="","",VLOOKUP(E92,'Base Datos'!$A$2:$M$150,4,FALSE))</f>
        <v>0</v>
      </c>
      <c r="O92" s="23">
        <f>IF(E92="","",VLOOKUP(E92,'Base Datos'!$A$2:$M$150,5,FALSE))</f>
        <v>0</v>
      </c>
      <c r="P92" s="23">
        <f>IF(E92="","",VLOOKUP(E92,'Base Datos'!$A$2:$M$150,6,FALSE))</f>
        <v>0</v>
      </c>
      <c r="Q92" s="23">
        <f>IF(E92="","",VLOOKUP(E92,'Base Datos'!$A$2:$M$150,7,FALSE))</f>
        <v>0</v>
      </c>
      <c r="R92" s="40">
        <f>IF(E92="","",VLOOKUP(E92,'Base Datos'!$A$2:$M$150,8,FALSE))</f>
        <v>0</v>
      </c>
      <c r="S92" s="40">
        <f>IF(E92="","",VLOOKUP(E92,'Base Datos'!$A$2:$M$150,9,FALSE))</f>
        <v>0</v>
      </c>
      <c r="T92" s="33">
        <f>IF(E92="","",(H92*I92)-(J92+K92))</f>
        <v>0</v>
      </c>
      <c r="U92" s="33">
        <f>IF(E92="","",(I92*R92)/1000)</f>
        <v>0</v>
      </c>
      <c r="V92" s="123">
        <f>IF(G92="",0,(G92*H92)/3600)</f>
        <v>0</v>
      </c>
      <c r="W92" s="45">
        <f>IFERROR(IF(E92="","",(H92/P92)),0)</f>
        <v>0</v>
      </c>
      <c r="X92" s="94">
        <f>WEEKDAY(A92,1)</f>
        <v>4</v>
      </c>
      <c r="Y92" s="120">
        <f>MONTH(A92)</f>
        <v>7</v>
      </c>
      <c r="Z92" s="125">
        <f>WEEKNUM(A92)-WEEKNUM(DATE(YEAR(A92),MONTH(A92),1))+1</f>
        <v>3</v>
      </c>
      <c r="AA92" s="126">
        <f>IF(V92="",0,V92/8)</f>
        <v>0</v>
      </c>
      <c r="AB92" s="125">
        <f>IF(E92="02PZ03405",0,1)</f>
        <v>1</v>
      </c>
    </row>
    <row r="93" spans="1:28" x14ac:dyDescent="0.2">
      <c r="A93" s="37">
        <v>44777</v>
      </c>
      <c r="B93" s="31" t="s">
        <v>86</v>
      </c>
      <c r="C93" s="31" t="s">
        <v>90</v>
      </c>
      <c r="D93" s="38">
        <v>4</v>
      </c>
      <c r="E93" s="39" t="s">
        <v>182</v>
      </c>
      <c r="F93" s="33" t="str">
        <f>IF(E93="","",VLOOKUP(E93,'Base Datos'!$A$2:$M$150,2,FALSE))</f>
        <v>Problema con Inyectora</v>
      </c>
      <c r="G93" s="99"/>
      <c r="H93" s="102"/>
      <c r="I93" s="32"/>
      <c r="J93" s="32"/>
      <c r="K93" s="31"/>
      <c r="L93" s="39"/>
      <c r="M93" s="33">
        <f>IF(E93="","",VLOOKUP(E93,'Base Datos'!$A$2:$M$150,3,FALSE))</f>
        <v>0</v>
      </c>
      <c r="N93" s="23">
        <f>IF(E93="","",VLOOKUP(E93,'Base Datos'!$A$2:$M$150,4,FALSE))</f>
        <v>0</v>
      </c>
      <c r="O93" s="23">
        <f>IF(E93="","",VLOOKUP(E93,'Base Datos'!$A$2:$M$150,5,FALSE))</f>
        <v>0</v>
      </c>
      <c r="P93" s="23">
        <f>IF(E93="","",VLOOKUP(E93,'Base Datos'!$A$2:$M$150,6,FALSE))</f>
        <v>0</v>
      </c>
      <c r="Q93" s="23">
        <f>IF(E93="","",VLOOKUP(E93,'Base Datos'!$A$2:$M$150,7,FALSE))</f>
        <v>0</v>
      </c>
      <c r="R93" s="40">
        <f>IF(E93="","",VLOOKUP(E93,'Base Datos'!$A$2:$M$150,8,FALSE))</f>
        <v>0</v>
      </c>
      <c r="S93" s="40">
        <f>IF(E93="","",VLOOKUP(E93,'Base Datos'!$A$2:$M$150,9,FALSE))</f>
        <v>0</v>
      </c>
      <c r="T93" s="33">
        <f>IF(E93="","",(H93*I93)-(J93+K93))</f>
        <v>0</v>
      </c>
      <c r="U93" s="33">
        <f>IF(E93="","",(I93*R93)/1000)</f>
        <v>0</v>
      </c>
      <c r="V93" s="123">
        <f>IF(G93="",0,(G93*H93)/3600)</f>
        <v>0</v>
      </c>
      <c r="W93" s="45">
        <f>IFERROR(IF(E93="","",(H93/P93)),0)</f>
        <v>0</v>
      </c>
      <c r="X93" s="23">
        <f>WEEKDAY(A93,1)</f>
        <v>5</v>
      </c>
      <c r="Y93" s="120">
        <f>MONTH(A93)</f>
        <v>8</v>
      </c>
      <c r="Z93" s="125">
        <f>WEEKNUM(A93)-WEEKNUM(DATE(YEAR(A93),MONTH(A93),1))+1</f>
        <v>1</v>
      </c>
      <c r="AA93" s="126">
        <f>IF(V93="",0,V93/8)</f>
        <v>0</v>
      </c>
      <c r="AB93" s="125">
        <f>IF(E93="02PZ03405",0,1)</f>
        <v>1</v>
      </c>
    </row>
    <row r="94" spans="1:28" x14ac:dyDescent="0.2">
      <c r="A94" s="37">
        <v>44771</v>
      </c>
      <c r="B94" s="31" t="s">
        <v>86</v>
      </c>
      <c r="C94" s="31" t="s">
        <v>90</v>
      </c>
      <c r="D94" s="38">
        <v>5</v>
      </c>
      <c r="E94" s="39" t="s">
        <v>182</v>
      </c>
      <c r="F94" s="33" t="str">
        <f>IF(E94="","",VLOOKUP(E94,'Base Datos'!$A$2:$M$150,2,FALSE))</f>
        <v>Problema con Inyectora</v>
      </c>
      <c r="G94" s="99"/>
      <c r="H94" s="102"/>
      <c r="I94" s="32"/>
      <c r="J94" s="32"/>
      <c r="K94" s="31"/>
      <c r="L94" s="39"/>
      <c r="M94" s="33">
        <f>IF(E94="","",VLOOKUP(E94,'Base Datos'!$A$2:$M$150,3,FALSE))</f>
        <v>0</v>
      </c>
      <c r="N94" s="23">
        <f>IF(E94="","",VLOOKUP(E94,'Base Datos'!$A$2:$M$150,4,FALSE))</f>
        <v>0</v>
      </c>
      <c r="O94" s="23">
        <f>IF(E94="","",VLOOKUP(E94,'Base Datos'!$A$2:$M$150,5,FALSE))</f>
        <v>0</v>
      </c>
      <c r="P94" s="23">
        <f>IF(E94="","",VLOOKUP(E94,'Base Datos'!$A$2:$M$150,6,FALSE))</f>
        <v>0</v>
      </c>
      <c r="Q94" s="23">
        <f>IF(E94="","",VLOOKUP(E94,'Base Datos'!$A$2:$M$150,7,FALSE))</f>
        <v>0</v>
      </c>
      <c r="R94" s="40">
        <f>IF(E94="","",VLOOKUP(E94,'Base Datos'!$A$2:$M$150,8,FALSE))</f>
        <v>0</v>
      </c>
      <c r="S94" s="40">
        <f>IF(E94="","",VLOOKUP(E94,'Base Datos'!$A$2:$M$150,9,FALSE))</f>
        <v>0</v>
      </c>
      <c r="T94" s="33">
        <f>IF(E94="","",(H94*I94)-(J94+K94))</f>
        <v>0</v>
      </c>
      <c r="U94" s="33">
        <f>IF(E94="","",(I94*R94)/1000)</f>
        <v>0</v>
      </c>
      <c r="V94" s="123">
        <f>IF(G94="",0,(G94*H94)/3600)</f>
        <v>0</v>
      </c>
      <c r="W94" s="45">
        <f>IFERROR(IF(E94="","",(H94/P94)),0)</f>
        <v>0</v>
      </c>
      <c r="X94" s="94">
        <f>WEEKDAY(A94,1)</f>
        <v>6</v>
      </c>
      <c r="Y94" s="120">
        <f>MONTH(A94)</f>
        <v>7</v>
      </c>
      <c r="Z94" s="125">
        <f>WEEKNUM(A94)-WEEKNUM(DATE(YEAR(A94),MONTH(A94),1))+1</f>
        <v>5</v>
      </c>
      <c r="AA94" s="126">
        <f>IF(V94="",0,V94/8)</f>
        <v>0</v>
      </c>
      <c r="AB94" s="125">
        <f>IF(E94="02PZ03405",0,1)</f>
        <v>1</v>
      </c>
    </row>
    <row r="95" spans="1:28" x14ac:dyDescent="0.2">
      <c r="A95" s="37">
        <v>44771</v>
      </c>
      <c r="B95" s="31" t="s">
        <v>86</v>
      </c>
      <c r="C95" s="31" t="s">
        <v>90</v>
      </c>
      <c r="D95" s="38">
        <v>2</v>
      </c>
      <c r="E95" s="39" t="s">
        <v>182</v>
      </c>
      <c r="F95" s="33" t="str">
        <f>IF(E95="","",VLOOKUP(E95,'Base Datos'!$A$2:$M$150,2,FALSE))</f>
        <v>Problema con Inyectora</v>
      </c>
      <c r="G95" s="99"/>
      <c r="H95" s="102"/>
      <c r="I95" s="32"/>
      <c r="J95" s="32"/>
      <c r="K95" s="31"/>
      <c r="L95" s="39"/>
      <c r="M95" s="33">
        <f>IF(E95="","",VLOOKUP(E95,'Base Datos'!$A$2:$M$150,3,FALSE))</f>
        <v>0</v>
      </c>
      <c r="N95" s="23">
        <f>IF(E95="","",VLOOKUP(E95,'Base Datos'!$A$2:$M$150,4,FALSE))</f>
        <v>0</v>
      </c>
      <c r="O95" s="23">
        <f>IF(E95="","",VLOOKUP(E95,'Base Datos'!$A$2:$M$150,5,FALSE))</f>
        <v>0</v>
      </c>
      <c r="P95" s="23">
        <f>IF(E95="","",VLOOKUP(E95,'Base Datos'!$A$2:$M$150,6,FALSE))</f>
        <v>0</v>
      </c>
      <c r="Q95" s="23">
        <f>IF(E95="","",VLOOKUP(E95,'Base Datos'!$A$2:$M$150,7,FALSE))</f>
        <v>0</v>
      </c>
      <c r="R95" s="40">
        <f>IF(E95="","",VLOOKUP(E95,'Base Datos'!$A$2:$M$150,8,FALSE))</f>
        <v>0</v>
      </c>
      <c r="S95" s="40">
        <f>IF(E95="","",VLOOKUP(E95,'Base Datos'!$A$2:$M$150,9,FALSE))</f>
        <v>0</v>
      </c>
      <c r="T95" s="33">
        <f>IF(E95="","",(H95*I95)-(J95+K95))</f>
        <v>0</v>
      </c>
      <c r="U95" s="33">
        <f>IF(E95="","",(I95*R95)/1000)</f>
        <v>0</v>
      </c>
      <c r="V95" s="123">
        <f>IF(G95="",0,(G95*H95)/3600)</f>
        <v>0</v>
      </c>
      <c r="W95" s="45">
        <f>IFERROR(IF(E95="","",(H95/P95)),0)</f>
        <v>0</v>
      </c>
      <c r="X95" s="94">
        <f>WEEKDAY(A95,1)</f>
        <v>6</v>
      </c>
      <c r="Y95" s="120">
        <f>MONTH(A95)</f>
        <v>7</v>
      </c>
      <c r="Z95" s="125">
        <f>WEEKNUM(A95)-WEEKNUM(DATE(YEAR(A95),MONTH(A95),1))+1</f>
        <v>5</v>
      </c>
      <c r="AA95" s="126">
        <f>IF(V95="",0,V95/8)</f>
        <v>0</v>
      </c>
      <c r="AB95" s="125">
        <f>IF(E95="02PZ03405",0,1)</f>
        <v>1</v>
      </c>
    </row>
    <row r="96" spans="1:28" x14ac:dyDescent="0.2">
      <c r="A96" s="37">
        <v>44770</v>
      </c>
      <c r="B96" s="31" t="s">
        <v>86</v>
      </c>
      <c r="C96" s="31" t="s">
        <v>90</v>
      </c>
      <c r="D96" s="38">
        <v>5</v>
      </c>
      <c r="E96" s="39" t="s">
        <v>182</v>
      </c>
      <c r="F96" s="33" t="str">
        <f>IF(E96="","",VLOOKUP(E96,'Base Datos'!$A$2:$M$150,2,FALSE))</f>
        <v>Problema con Inyectora</v>
      </c>
      <c r="G96" s="99"/>
      <c r="H96" s="102"/>
      <c r="I96" s="32"/>
      <c r="J96" s="32"/>
      <c r="K96" s="31"/>
      <c r="L96" s="39"/>
      <c r="M96" s="33">
        <f>IF(E96="","",VLOOKUP(E96,'Base Datos'!$A$2:$M$150,3,FALSE))</f>
        <v>0</v>
      </c>
      <c r="N96" s="23">
        <f>IF(E96="","",VLOOKUP(E96,'Base Datos'!$A$2:$M$150,4,FALSE))</f>
        <v>0</v>
      </c>
      <c r="O96" s="23">
        <f>IF(E96="","",VLOOKUP(E96,'Base Datos'!$A$2:$M$150,5,FALSE))</f>
        <v>0</v>
      </c>
      <c r="P96" s="23">
        <f>IF(E96="","",VLOOKUP(E96,'Base Datos'!$A$2:$M$150,6,FALSE))</f>
        <v>0</v>
      </c>
      <c r="Q96" s="23">
        <f>IF(E96="","",VLOOKUP(E96,'Base Datos'!$A$2:$M$150,7,FALSE))</f>
        <v>0</v>
      </c>
      <c r="R96" s="40">
        <f>IF(E96="","",VLOOKUP(E96,'Base Datos'!$A$2:$M$150,8,FALSE))</f>
        <v>0</v>
      </c>
      <c r="S96" s="40">
        <f>IF(E96="","",VLOOKUP(E96,'Base Datos'!$A$2:$M$150,9,FALSE))</f>
        <v>0</v>
      </c>
      <c r="T96" s="33">
        <f>IF(E96="","",(H96*I96)-(J96+K96))</f>
        <v>0</v>
      </c>
      <c r="U96" s="33">
        <f>IF(E96="","",(I96*R96)/1000)</f>
        <v>0</v>
      </c>
      <c r="V96" s="123">
        <f>IF(G96="",0,(G96*H96)/3600)</f>
        <v>0</v>
      </c>
      <c r="W96" s="45">
        <f>IFERROR(IF(E96="","",(H96/P96)),0)</f>
        <v>0</v>
      </c>
      <c r="X96" s="94">
        <f>WEEKDAY(A96,1)</f>
        <v>5</v>
      </c>
      <c r="Y96" s="120">
        <f>MONTH(A96)</f>
        <v>7</v>
      </c>
      <c r="Z96" s="125">
        <f>WEEKNUM(A96)-WEEKNUM(DATE(YEAR(A96),MONTH(A96),1))+1</f>
        <v>5</v>
      </c>
      <c r="AA96" s="126">
        <f>IF(V96="",0,V96/8)</f>
        <v>0</v>
      </c>
      <c r="AB96" s="125">
        <f>IF(E96="02PZ03405",0,1)</f>
        <v>1</v>
      </c>
    </row>
    <row r="97" spans="1:28" x14ac:dyDescent="0.2">
      <c r="A97" s="37">
        <v>44770</v>
      </c>
      <c r="B97" s="31" t="s">
        <v>34</v>
      </c>
      <c r="C97" s="31" t="s">
        <v>90</v>
      </c>
      <c r="D97" s="38">
        <v>2</v>
      </c>
      <c r="E97" s="39" t="s">
        <v>182</v>
      </c>
      <c r="F97" s="33" t="str">
        <f>IF(E97="","",VLOOKUP(E97,'Base Datos'!$A$2:$M$150,2,FALSE))</f>
        <v>Problema con Inyectora</v>
      </c>
      <c r="G97" s="99"/>
      <c r="H97" s="102"/>
      <c r="I97" s="32"/>
      <c r="J97" s="32"/>
      <c r="K97" s="31"/>
      <c r="L97" s="39"/>
      <c r="M97" s="33">
        <f>IF(E97="","",VLOOKUP(E97,'Base Datos'!$A$2:$M$150,3,FALSE))</f>
        <v>0</v>
      </c>
      <c r="N97" s="23">
        <f>IF(E97="","",VLOOKUP(E97,'Base Datos'!$A$2:$M$150,4,FALSE))</f>
        <v>0</v>
      </c>
      <c r="O97" s="23">
        <f>IF(E97="","",VLOOKUP(E97,'Base Datos'!$A$2:$M$150,5,FALSE))</f>
        <v>0</v>
      </c>
      <c r="P97" s="23">
        <f>IF(E97="","",VLOOKUP(E97,'Base Datos'!$A$2:$M$150,6,FALSE))</f>
        <v>0</v>
      </c>
      <c r="Q97" s="23">
        <f>IF(E97="","",VLOOKUP(E97,'Base Datos'!$A$2:$M$150,7,FALSE))</f>
        <v>0</v>
      </c>
      <c r="R97" s="40">
        <f>IF(E97="","",VLOOKUP(E97,'Base Datos'!$A$2:$M$150,8,FALSE))</f>
        <v>0</v>
      </c>
      <c r="S97" s="40">
        <f>IF(E97="","",VLOOKUP(E97,'Base Datos'!$A$2:$M$150,9,FALSE))</f>
        <v>0</v>
      </c>
      <c r="T97" s="33">
        <f>IF(E97="","",(H97*I97)-(J97+K97))</f>
        <v>0</v>
      </c>
      <c r="U97" s="33">
        <f>IF(E97="","",(I97*R97)/1000)</f>
        <v>0</v>
      </c>
      <c r="V97" s="123">
        <f>IF(G97="",0,(G97*H97)/3600)</f>
        <v>0</v>
      </c>
      <c r="W97" s="45">
        <f>IFERROR(IF(E97="","",(H97/P97)),0)</f>
        <v>0</v>
      </c>
      <c r="X97" s="94">
        <f>WEEKDAY(A97,1)</f>
        <v>5</v>
      </c>
      <c r="Y97" s="120">
        <f>MONTH(A97)</f>
        <v>7</v>
      </c>
      <c r="Z97" s="125">
        <f>WEEKNUM(A97)-WEEKNUM(DATE(YEAR(A97),MONTH(A97),1))+1</f>
        <v>5</v>
      </c>
      <c r="AA97" s="126">
        <f>IF(V97="",0,V97/8)</f>
        <v>0</v>
      </c>
      <c r="AB97" s="125">
        <f>IF(E97="02PZ03405",0,1)</f>
        <v>1</v>
      </c>
    </row>
    <row r="98" spans="1:28" x14ac:dyDescent="0.2">
      <c r="A98" s="37">
        <v>44756</v>
      </c>
      <c r="B98" s="31" t="s">
        <v>34</v>
      </c>
      <c r="C98" s="31" t="s">
        <v>88</v>
      </c>
      <c r="D98" s="38">
        <v>1</v>
      </c>
      <c r="E98" s="39" t="s">
        <v>182</v>
      </c>
      <c r="F98" s="33" t="str">
        <f>IF(E98="","",VLOOKUP(E98,'Base Datos'!$A$2:$M$150,2,FALSE))</f>
        <v>Problema con Inyectora</v>
      </c>
      <c r="G98" s="32"/>
      <c r="H98" s="102"/>
      <c r="I98" s="32"/>
      <c r="J98" s="32"/>
      <c r="K98" s="31"/>
      <c r="L98" s="39"/>
      <c r="M98" s="33">
        <f>IF(E98="","",VLOOKUP(E98,'Base Datos'!$A$2:$M$150,3,FALSE))</f>
        <v>0</v>
      </c>
      <c r="N98" s="23">
        <f>IF(E98="","",VLOOKUP(E98,'Base Datos'!$A$2:$M$150,4,FALSE))</f>
        <v>0</v>
      </c>
      <c r="O98" s="23">
        <f>IF(E98="","",VLOOKUP(E98,'Base Datos'!$A$2:$M$150,5,FALSE))</f>
        <v>0</v>
      </c>
      <c r="P98" s="23">
        <f>IF(E98="","",VLOOKUP(E98,'Base Datos'!$A$2:$M$150,6,FALSE))</f>
        <v>0</v>
      </c>
      <c r="Q98" s="23">
        <f>IF(E98="","",VLOOKUP(E98,'Base Datos'!$A$2:$M$150,7,FALSE))</f>
        <v>0</v>
      </c>
      <c r="R98" s="40">
        <f>IF(E98="","",VLOOKUP(E98,'Base Datos'!$A$2:$M$150,8,FALSE))</f>
        <v>0</v>
      </c>
      <c r="S98" s="40">
        <f>IF(E98="","",VLOOKUP(E98,'Base Datos'!$A$2:$M$150,9,FALSE))</f>
        <v>0</v>
      </c>
      <c r="T98" s="33">
        <f>IF(E98="","",(H98*I98)-(J98+K98))</f>
        <v>0</v>
      </c>
      <c r="U98" s="33">
        <f>IF(E98="","",(I98*R98)/1000)</f>
        <v>0</v>
      </c>
      <c r="V98" s="123">
        <f>IF(G98="",0,(G98*H98)/3600)</f>
        <v>0</v>
      </c>
      <c r="W98" s="45">
        <f>IFERROR(IF(E98="","",(H98/P98)),0)</f>
        <v>0</v>
      </c>
      <c r="X98" s="94">
        <f>WEEKDAY(A98,1)</f>
        <v>5</v>
      </c>
      <c r="Y98" s="120">
        <f>MONTH(A98)</f>
        <v>7</v>
      </c>
      <c r="Z98" s="125">
        <f>WEEKNUM(A98)-WEEKNUM(DATE(YEAR(A98),MONTH(A98),1))+1</f>
        <v>3</v>
      </c>
      <c r="AA98" s="126">
        <f>IF(V98="",0,V98/8)</f>
        <v>0</v>
      </c>
      <c r="AB98" s="125">
        <f>IF(E98="02PZ03405",0,1)</f>
        <v>1</v>
      </c>
    </row>
    <row r="99" spans="1:28" x14ac:dyDescent="0.2">
      <c r="A99" s="37">
        <v>44777</v>
      </c>
      <c r="B99" s="31" t="s">
        <v>87</v>
      </c>
      <c r="C99" s="31" t="s">
        <v>93</v>
      </c>
      <c r="D99" s="38">
        <v>3</v>
      </c>
      <c r="E99" s="39" t="s">
        <v>182</v>
      </c>
      <c r="F99" s="33" t="str">
        <f>IF(E99="","",VLOOKUP(E99,'Base Datos'!$A$2:$M$150,2,FALSE))</f>
        <v>Problema con Inyectora</v>
      </c>
      <c r="G99" s="99">
        <v>24</v>
      </c>
      <c r="H99" s="102"/>
      <c r="I99" s="32"/>
      <c r="J99" s="32"/>
      <c r="K99" s="31"/>
      <c r="L99" s="39">
        <v>184975</v>
      </c>
      <c r="M99" s="33">
        <f>IF(E99="","",VLOOKUP(E99,'Base Datos'!$A$2:$M$150,3,FALSE))</f>
        <v>0</v>
      </c>
      <c r="N99" s="23">
        <f>IF(E99="","",VLOOKUP(E99,'Base Datos'!$A$2:$M$150,4,FALSE))</f>
        <v>0</v>
      </c>
      <c r="O99" s="23">
        <f>IF(E99="","",VLOOKUP(E99,'Base Datos'!$A$2:$M$150,5,FALSE))</f>
        <v>0</v>
      </c>
      <c r="P99" s="23">
        <f>IF(E99="","",VLOOKUP(E99,'Base Datos'!$A$2:$M$150,6,FALSE))</f>
        <v>0</v>
      </c>
      <c r="Q99" s="23">
        <f>IF(E99="","",VLOOKUP(E99,'Base Datos'!$A$2:$M$150,7,FALSE))</f>
        <v>0</v>
      </c>
      <c r="R99" s="40">
        <f>IF(E99="","",VLOOKUP(E99,'Base Datos'!$A$2:$M$150,8,FALSE))</f>
        <v>0</v>
      </c>
      <c r="S99" s="40">
        <f>IF(E99="","",VLOOKUP(E99,'Base Datos'!$A$2:$M$150,9,FALSE))</f>
        <v>0</v>
      </c>
      <c r="T99" s="33">
        <f>IF(E99="","",(H99*I99)-(J99+K99))</f>
        <v>0</v>
      </c>
      <c r="U99" s="33">
        <f>IF(E99="","",(I99*R99)/1000)</f>
        <v>0</v>
      </c>
      <c r="V99" s="123">
        <f>IF(G99="",0,(G99*H99)/3600)</f>
        <v>0</v>
      </c>
      <c r="W99" s="45">
        <f>IFERROR(IF(E99="","",(H99/P99)),0)</f>
        <v>0</v>
      </c>
      <c r="X99" s="23">
        <f>WEEKDAY(A99,1)</f>
        <v>5</v>
      </c>
      <c r="Y99" s="120">
        <f>MONTH(A99)</f>
        <v>8</v>
      </c>
      <c r="Z99" s="125">
        <f>WEEKNUM(A99)-WEEKNUM(DATE(YEAR(A99),MONTH(A99),1))+1</f>
        <v>1</v>
      </c>
      <c r="AA99" s="126">
        <f>IF(V99="",0,V99/8)</f>
        <v>0</v>
      </c>
      <c r="AB99" s="125">
        <f>IF(E99="02PZ03405",0,1)</f>
        <v>1</v>
      </c>
    </row>
    <row r="100" spans="1:28" x14ac:dyDescent="0.2">
      <c r="A100" s="37">
        <v>44762</v>
      </c>
      <c r="B100" s="31" t="s">
        <v>87</v>
      </c>
      <c r="C100" s="31" t="s">
        <v>93</v>
      </c>
      <c r="D100" s="38">
        <v>2</v>
      </c>
      <c r="E100" s="39" t="s">
        <v>182</v>
      </c>
      <c r="F100" s="33" t="str">
        <f>IF(E100="","",VLOOKUP(E100,'Base Datos'!$A$2:$M$150,2,FALSE))</f>
        <v>Problema con Inyectora</v>
      </c>
      <c r="G100" s="99">
        <v>0</v>
      </c>
      <c r="H100" s="102">
        <v>0</v>
      </c>
      <c r="I100" s="32">
        <v>0</v>
      </c>
      <c r="J100" s="32"/>
      <c r="K100" s="31"/>
      <c r="L100" s="39"/>
      <c r="M100" s="33">
        <f>IF(E100="","",VLOOKUP(E100,'Base Datos'!$A$2:$M$150,3,FALSE))</f>
        <v>0</v>
      </c>
      <c r="N100" s="23">
        <f>IF(E100="","",VLOOKUP(E100,'Base Datos'!$A$2:$M$150,4,FALSE))</f>
        <v>0</v>
      </c>
      <c r="O100" s="23">
        <f>IF(E100="","",VLOOKUP(E100,'Base Datos'!$A$2:$M$150,5,FALSE))</f>
        <v>0</v>
      </c>
      <c r="P100" s="23">
        <f>IF(E100="","",VLOOKUP(E100,'Base Datos'!$A$2:$M$150,6,FALSE))</f>
        <v>0</v>
      </c>
      <c r="Q100" s="23">
        <f>IF(E100="","",VLOOKUP(E100,'Base Datos'!$A$2:$M$150,7,FALSE))</f>
        <v>0</v>
      </c>
      <c r="R100" s="40">
        <f>IF(E100="","",VLOOKUP(E100,'Base Datos'!$A$2:$M$150,8,FALSE))</f>
        <v>0</v>
      </c>
      <c r="S100" s="40">
        <f>IF(E100="","",VLOOKUP(E100,'Base Datos'!$A$2:$M$150,9,FALSE))</f>
        <v>0</v>
      </c>
      <c r="T100" s="33">
        <f>IF(E100="","",(H100*I100)-(J100+K100))</f>
        <v>0</v>
      </c>
      <c r="U100" s="33">
        <f>IF(E100="","",(I100*R100)/1000)</f>
        <v>0</v>
      </c>
      <c r="V100" s="123">
        <f>IF(G100="",0,(G100*H100)/3600)</f>
        <v>0</v>
      </c>
      <c r="W100" s="45">
        <f>IFERROR(IF(E100="","",(H100/P100)),0)</f>
        <v>0</v>
      </c>
      <c r="X100" s="94">
        <f>WEEKDAY(A100,1)</f>
        <v>4</v>
      </c>
      <c r="Y100" s="120">
        <f>MONTH(A100)</f>
        <v>7</v>
      </c>
      <c r="Z100" s="125">
        <f>WEEKNUM(A100)-WEEKNUM(DATE(YEAR(A100),MONTH(A100),1))+1</f>
        <v>4</v>
      </c>
      <c r="AA100" s="126">
        <f>IF(V100="",0,V100/8)</f>
        <v>0</v>
      </c>
      <c r="AB100" s="125">
        <f>IF(E100="02PZ03405",0,1)</f>
        <v>1</v>
      </c>
    </row>
    <row r="101" spans="1:28" x14ac:dyDescent="0.2">
      <c r="A101" s="37">
        <v>44762</v>
      </c>
      <c r="B101" s="31" t="s">
        <v>87</v>
      </c>
      <c r="C101" s="31" t="s">
        <v>92</v>
      </c>
      <c r="D101" s="38">
        <v>5</v>
      </c>
      <c r="E101" s="39" t="s">
        <v>183</v>
      </c>
      <c r="F101" s="33" t="str">
        <f>IF(E101="","",VLOOKUP(E101,'Base Datos'!$A$2:$M$150,2,FALSE))</f>
        <v>Problema con Chiller</v>
      </c>
      <c r="G101" s="99">
        <v>0</v>
      </c>
      <c r="H101" s="102">
        <v>0</v>
      </c>
      <c r="I101" s="32">
        <v>0</v>
      </c>
      <c r="J101" s="32"/>
      <c r="K101" s="31"/>
      <c r="L101" s="39">
        <v>184706</v>
      </c>
      <c r="M101" s="33">
        <f>IF(E101="","",VLOOKUP(E101,'Base Datos'!$A$2:$M$150,3,FALSE))</f>
        <v>0</v>
      </c>
      <c r="N101" s="23">
        <f>IF(E101="","",VLOOKUP(E101,'Base Datos'!$A$2:$M$150,4,FALSE))</f>
        <v>0</v>
      </c>
      <c r="O101" s="23">
        <f>IF(E101="","",VLOOKUP(E101,'Base Datos'!$A$2:$M$150,5,FALSE))</f>
        <v>0</v>
      </c>
      <c r="P101" s="23">
        <f>IF(E101="","",VLOOKUP(E101,'Base Datos'!$A$2:$M$150,6,FALSE))</f>
        <v>0</v>
      </c>
      <c r="Q101" s="23">
        <f>IF(E101="","",VLOOKUP(E101,'Base Datos'!$A$2:$M$150,7,FALSE))</f>
        <v>0</v>
      </c>
      <c r="R101" s="40">
        <f>IF(E101="","",VLOOKUP(E101,'Base Datos'!$A$2:$M$150,8,FALSE))</f>
        <v>0</v>
      </c>
      <c r="S101" s="40">
        <f>IF(E101="","",VLOOKUP(E101,'Base Datos'!$A$2:$M$150,9,FALSE))</f>
        <v>0</v>
      </c>
      <c r="T101" s="33">
        <f>IF(E101="","",(H101*I101)-(J101+K101))</f>
        <v>0</v>
      </c>
      <c r="U101" s="33">
        <f>IF(E101="","",(I101*R101)/1000)</f>
        <v>0</v>
      </c>
      <c r="V101" s="123">
        <f>IF(G101="",0,(G101*H101)/3600)</f>
        <v>0</v>
      </c>
      <c r="W101" s="45">
        <f>IFERROR(IF(E101="","",(H101/P101)),0)</f>
        <v>0</v>
      </c>
      <c r="X101" s="94">
        <f>WEEKDAY(A101,1)</f>
        <v>4</v>
      </c>
      <c r="Y101" s="120">
        <f>MONTH(A101)</f>
        <v>7</v>
      </c>
      <c r="Z101" s="125">
        <f>WEEKNUM(A101)-WEEKNUM(DATE(YEAR(A101),MONTH(A101),1))+1</f>
        <v>4</v>
      </c>
      <c r="AA101" s="126">
        <f>IF(V101="",0,V101/8)</f>
        <v>0</v>
      </c>
      <c r="AB101" s="125">
        <f>IF(E101="02PZ03405",0,1)</f>
        <v>1</v>
      </c>
    </row>
    <row r="102" spans="1:28" x14ac:dyDescent="0.2">
      <c r="A102" s="37">
        <v>44750</v>
      </c>
      <c r="B102" s="31" t="s">
        <v>87</v>
      </c>
      <c r="C102" s="31" t="s">
        <v>92</v>
      </c>
      <c r="D102" s="38">
        <v>5</v>
      </c>
      <c r="E102" s="39" t="s">
        <v>248</v>
      </c>
      <c r="F102" s="33" t="str">
        <f>IF(E102="","",VLOOKUP(E102,'Base Datos'!$A$2:$M$150,2,FALSE))</f>
        <v>No funciona por Falta personal</v>
      </c>
      <c r="G102" s="32"/>
      <c r="H102" s="102"/>
      <c r="I102" s="32"/>
      <c r="J102" s="32"/>
      <c r="K102" s="31"/>
      <c r="L102" s="39"/>
      <c r="M102" s="33">
        <f>IF(E102="","",VLOOKUP(E102,'Base Datos'!$A$2:$M$150,3,FALSE))</f>
        <v>0</v>
      </c>
      <c r="N102" s="23">
        <f>IF(E102="","",VLOOKUP(E102,'Base Datos'!$A$2:$M$150,4,FALSE))</f>
        <v>0</v>
      </c>
      <c r="O102" s="23">
        <f>IF(E102="","",VLOOKUP(E102,'Base Datos'!$A$2:$M$150,5,FALSE))</f>
        <v>0</v>
      </c>
      <c r="P102" s="23">
        <f>IF(E102="","",VLOOKUP(E102,'Base Datos'!$A$2:$M$150,6,FALSE))</f>
        <v>0</v>
      </c>
      <c r="Q102" s="23">
        <f>IF(E102="","",VLOOKUP(E102,'Base Datos'!$A$2:$M$150,7,FALSE))</f>
        <v>0</v>
      </c>
      <c r="R102" s="40">
        <f>IF(E102="","",VLOOKUP(E102,'Base Datos'!$A$2:$M$150,8,FALSE))</f>
        <v>0</v>
      </c>
      <c r="S102" s="40">
        <f>IF(E102="","",VLOOKUP(E102,'Base Datos'!$A$2:$M$150,9,FALSE))</f>
        <v>0</v>
      </c>
      <c r="T102" s="33">
        <f>IF(E102="","",(H102*I102)-(J102+K102))</f>
        <v>0</v>
      </c>
      <c r="U102" s="33">
        <f>IF(E102="","",(I102*R102)/1000)</f>
        <v>0</v>
      </c>
      <c r="V102" s="123">
        <f>IF(G102="",0,(G102*H102)/3600)</f>
        <v>0</v>
      </c>
      <c r="W102" s="45">
        <f>IFERROR(IF(E102="","",(H102/P102)),0)</f>
        <v>0</v>
      </c>
      <c r="X102" s="94">
        <f>WEEKDAY(A102,1)</f>
        <v>6</v>
      </c>
      <c r="Y102" s="120">
        <f>MONTH(A102)</f>
        <v>7</v>
      </c>
      <c r="Z102" s="125">
        <f>WEEKNUM(A102)-WEEKNUM(DATE(YEAR(A102),MONTH(A102),1))+1</f>
        <v>2</v>
      </c>
      <c r="AA102" s="126">
        <f>IF(V102="",0,V102/8)</f>
        <v>0</v>
      </c>
      <c r="AB102" s="125">
        <f>IF(E102="02PZ03405",0,1)</f>
        <v>0</v>
      </c>
    </row>
    <row r="103" spans="1:28" x14ac:dyDescent="0.2">
      <c r="A103" s="37">
        <v>44750</v>
      </c>
      <c r="B103" s="31" t="s">
        <v>87</v>
      </c>
      <c r="C103" s="31" t="s">
        <v>92</v>
      </c>
      <c r="D103" s="38">
        <v>4</v>
      </c>
      <c r="E103" s="39" t="s">
        <v>248</v>
      </c>
      <c r="F103" s="33" t="str">
        <f>IF(E103="","",VLOOKUP(E103,'Base Datos'!$A$2:$M$150,2,FALSE))</f>
        <v>No funciona por Falta personal</v>
      </c>
      <c r="G103" s="32"/>
      <c r="H103" s="102"/>
      <c r="I103" s="32"/>
      <c r="J103" s="32"/>
      <c r="K103" s="31"/>
      <c r="L103" s="39"/>
      <c r="M103" s="33">
        <f>IF(E103="","",VLOOKUP(E103,'Base Datos'!$A$2:$M$150,3,FALSE))</f>
        <v>0</v>
      </c>
      <c r="N103" s="23">
        <f>IF(E103="","",VLOOKUP(E103,'Base Datos'!$A$2:$M$150,4,FALSE))</f>
        <v>0</v>
      </c>
      <c r="O103" s="23">
        <f>IF(E103="","",VLOOKUP(E103,'Base Datos'!$A$2:$M$150,5,FALSE))</f>
        <v>0</v>
      </c>
      <c r="P103" s="23">
        <f>IF(E103="","",VLOOKUP(E103,'Base Datos'!$A$2:$M$150,6,FALSE))</f>
        <v>0</v>
      </c>
      <c r="Q103" s="23">
        <f>IF(E103="","",VLOOKUP(E103,'Base Datos'!$A$2:$M$150,7,FALSE))</f>
        <v>0</v>
      </c>
      <c r="R103" s="40">
        <f>IF(E103="","",VLOOKUP(E103,'Base Datos'!$A$2:$M$150,8,FALSE))</f>
        <v>0</v>
      </c>
      <c r="S103" s="40">
        <f>IF(E103="","",VLOOKUP(E103,'Base Datos'!$A$2:$M$150,9,FALSE))</f>
        <v>0</v>
      </c>
      <c r="T103" s="33">
        <f>IF(E103="","",(H103*I103)-(J103+K103))</f>
        <v>0</v>
      </c>
      <c r="U103" s="33">
        <f>IF(E103="","",(I103*R103)/1000)</f>
        <v>0</v>
      </c>
      <c r="V103" s="123">
        <f>IF(G103="",0,(G103*H103)/3600)</f>
        <v>0</v>
      </c>
      <c r="W103" s="45">
        <f>IFERROR(IF(E103="","",(H103/P103)),0)</f>
        <v>0</v>
      </c>
      <c r="X103" s="94">
        <f>WEEKDAY(A103,1)</f>
        <v>6</v>
      </c>
      <c r="Y103" s="120">
        <f>MONTH(A103)</f>
        <v>7</v>
      </c>
      <c r="Z103" s="125">
        <f>WEEKNUM(A103)-WEEKNUM(DATE(YEAR(A103),MONTH(A103),1))+1</f>
        <v>2</v>
      </c>
      <c r="AA103" s="126">
        <f>IF(V103="",0,V103/8)</f>
        <v>0</v>
      </c>
      <c r="AB103" s="125">
        <f>IF(E103="02PZ03405",0,1)</f>
        <v>0</v>
      </c>
    </row>
    <row r="104" spans="1:28" x14ac:dyDescent="0.2">
      <c r="A104" s="37">
        <v>44750</v>
      </c>
      <c r="B104" s="31" t="s">
        <v>87</v>
      </c>
      <c r="C104" s="31" t="s">
        <v>92</v>
      </c>
      <c r="D104" s="38">
        <v>1</v>
      </c>
      <c r="E104" s="39" t="s">
        <v>248</v>
      </c>
      <c r="F104" s="33" t="str">
        <f>IF(E104="","",VLOOKUP(E104,'Base Datos'!$A$2:$M$150,2,FALSE))</f>
        <v>No funciona por Falta personal</v>
      </c>
      <c r="G104" s="32"/>
      <c r="H104" s="102"/>
      <c r="I104" s="32"/>
      <c r="J104" s="32"/>
      <c r="K104" s="31"/>
      <c r="L104" s="39"/>
      <c r="M104" s="33">
        <f>IF(E104="","",VLOOKUP(E104,'Base Datos'!$A$2:$M$150,3,FALSE))</f>
        <v>0</v>
      </c>
      <c r="N104" s="23">
        <f>IF(E104="","",VLOOKUP(E104,'Base Datos'!$A$2:$M$150,4,FALSE))</f>
        <v>0</v>
      </c>
      <c r="O104" s="23">
        <f>IF(E104="","",VLOOKUP(E104,'Base Datos'!$A$2:$M$150,5,FALSE))</f>
        <v>0</v>
      </c>
      <c r="P104" s="23">
        <f>IF(E104="","",VLOOKUP(E104,'Base Datos'!$A$2:$M$150,6,FALSE))</f>
        <v>0</v>
      </c>
      <c r="Q104" s="23">
        <f>IF(E104="","",VLOOKUP(E104,'Base Datos'!$A$2:$M$150,7,FALSE))</f>
        <v>0</v>
      </c>
      <c r="R104" s="40">
        <f>IF(E104="","",VLOOKUP(E104,'Base Datos'!$A$2:$M$150,8,FALSE))</f>
        <v>0</v>
      </c>
      <c r="S104" s="40">
        <f>IF(E104="","",VLOOKUP(E104,'Base Datos'!$A$2:$M$150,9,FALSE))</f>
        <v>0</v>
      </c>
      <c r="T104" s="33">
        <f>IF(E104="","",(H104*I104)-(J104+K104))</f>
        <v>0</v>
      </c>
      <c r="U104" s="33">
        <f>IF(E104="","",(I104*R104)/1000)</f>
        <v>0</v>
      </c>
      <c r="V104" s="123">
        <f>IF(G104="",0,(G104*H104)/3600)</f>
        <v>0</v>
      </c>
      <c r="W104" s="45">
        <f>IFERROR(IF(E104="","",(H104/P104)),0)</f>
        <v>0</v>
      </c>
      <c r="X104" s="94">
        <f>WEEKDAY(A104,1)</f>
        <v>6</v>
      </c>
      <c r="Y104" s="120">
        <f>MONTH(A104)</f>
        <v>7</v>
      </c>
      <c r="Z104" s="125">
        <f>WEEKNUM(A104)-WEEKNUM(DATE(YEAR(A104),MONTH(A104),1))+1</f>
        <v>2</v>
      </c>
      <c r="AA104" s="126">
        <f>IF(V104="",0,V104/8)</f>
        <v>0</v>
      </c>
      <c r="AB104" s="125">
        <f>IF(E104="02PZ03405",0,1)</f>
        <v>0</v>
      </c>
    </row>
    <row r="105" spans="1:28" x14ac:dyDescent="0.2">
      <c r="A105" s="37">
        <v>44776</v>
      </c>
      <c r="B105" s="31" t="s">
        <v>86</v>
      </c>
      <c r="C105" s="31" t="s">
        <v>91</v>
      </c>
      <c r="D105" s="38">
        <v>4</v>
      </c>
      <c r="E105" s="39" t="s">
        <v>248</v>
      </c>
      <c r="F105" s="33" t="str">
        <f>IF(E105="","",VLOOKUP(E105,'Base Datos'!$A$2:$M$150,2,FALSE))</f>
        <v>No funciona por Falta personal</v>
      </c>
      <c r="G105" s="99"/>
      <c r="H105" s="102"/>
      <c r="I105" s="32"/>
      <c r="J105" s="32"/>
      <c r="K105" s="31"/>
      <c r="L105" s="39"/>
      <c r="M105" s="33">
        <f>IF(E105="","",VLOOKUP(E105,'Base Datos'!$A$2:$M$150,3,FALSE))</f>
        <v>0</v>
      </c>
      <c r="N105" s="23">
        <f>IF(E105="","",VLOOKUP(E105,'Base Datos'!$A$2:$M$150,4,FALSE))</f>
        <v>0</v>
      </c>
      <c r="O105" s="23">
        <f>IF(E105="","",VLOOKUP(E105,'Base Datos'!$A$2:$M$150,5,FALSE))</f>
        <v>0</v>
      </c>
      <c r="P105" s="23">
        <f>IF(E105="","",VLOOKUP(E105,'Base Datos'!$A$2:$M$150,6,FALSE))</f>
        <v>0</v>
      </c>
      <c r="Q105" s="23">
        <f>IF(E105="","",VLOOKUP(E105,'Base Datos'!$A$2:$M$150,7,FALSE))</f>
        <v>0</v>
      </c>
      <c r="R105" s="40">
        <f>IF(E105="","",VLOOKUP(E105,'Base Datos'!$A$2:$M$150,8,FALSE))</f>
        <v>0</v>
      </c>
      <c r="S105" s="40">
        <f>IF(E105="","",VLOOKUP(E105,'Base Datos'!$A$2:$M$150,9,FALSE))</f>
        <v>0</v>
      </c>
      <c r="T105" s="33">
        <f>IF(E105="","",(H105*I105)-(J105+K105))</f>
        <v>0</v>
      </c>
      <c r="U105" s="33">
        <f>IF(E105="","",(I105*R105)/1000)</f>
        <v>0</v>
      </c>
      <c r="V105" s="123">
        <f>IF(G105="",0,(G105*H105)/3600)</f>
        <v>0</v>
      </c>
      <c r="W105" s="45">
        <f>IFERROR(IF(E105="","",(H105/P105)),0)</f>
        <v>0</v>
      </c>
      <c r="X105" s="23">
        <f>WEEKDAY(A105,1)</f>
        <v>4</v>
      </c>
      <c r="Y105" s="120">
        <f>MONTH(A105)</f>
        <v>8</v>
      </c>
      <c r="Z105" s="125">
        <f>WEEKNUM(A105)-WEEKNUM(DATE(YEAR(A105),MONTH(A105),1))+1</f>
        <v>1</v>
      </c>
      <c r="AA105" s="126">
        <f>IF(V105="",0,V105/8)</f>
        <v>0</v>
      </c>
      <c r="AB105" s="125">
        <f>IF(E105="02PZ03405",0,1)</f>
        <v>0</v>
      </c>
    </row>
    <row r="106" spans="1:28" x14ac:dyDescent="0.2">
      <c r="A106" s="37">
        <v>44776</v>
      </c>
      <c r="B106" s="31" t="s">
        <v>86</v>
      </c>
      <c r="C106" s="31" t="s">
        <v>91</v>
      </c>
      <c r="D106" s="38">
        <v>3</v>
      </c>
      <c r="E106" s="39" t="s">
        <v>248</v>
      </c>
      <c r="F106" s="33" t="str">
        <f>IF(E106="","",VLOOKUP(E106,'Base Datos'!$A$2:$M$150,2,FALSE))</f>
        <v>No funciona por Falta personal</v>
      </c>
      <c r="G106" s="99"/>
      <c r="H106" s="102"/>
      <c r="I106" s="32"/>
      <c r="J106" s="32"/>
      <c r="K106" s="31"/>
      <c r="L106" s="39"/>
      <c r="M106" s="33">
        <f>IF(E106="","",VLOOKUP(E106,'Base Datos'!$A$2:$M$150,3,FALSE))</f>
        <v>0</v>
      </c>
      <c r="N106" s="23">
        <f>IF(E106="","",VLOOKUP(E106,'Base Datos'!$A$2:$M$150,4,FALSE))</f>
        <v>0</v>
      </c>
      <c r="O106" s="23">
        <f>IF(E106="","",VLOOKUP(E106,'Base Datos'!$A$2:$M$150,5,FALSE))</f>
        <v>0</v>
      </c>
      <c r="P106" s="23">
        <f>IF(E106="","",VLOOKUP(E106,'Base Datos'!$A$2:$M$150,6,FALSE))</f>
        <v>0</v>
      </c>
      <c r="Q106" s="23">
        <f>IF(E106="","",VLOOKUP(E106,'Base Datos'!$A$2:$M$150,7,FALSE))</f>
        <v>0</v>
      </c>
      <c r="R106" s="40">
        <f>IF(E106="","",VLOOKUP(E106,'Base Datos'!$A$2:$M$150,8,FALSE))</f>
        <v>0</v>
      </c>
      <c r="S106" s="40">
        <f>IF(E106="","",VLOOKUP(E106,'Base Datos'!$A$2:$M$150,9,FALSE))</f>
        <v>0</v>
      </c>
      <c r="T106" s="33">
        <f>IF(E106="","",(H106*I106)-(J106+K106))</f>
        <v>0</v>
      </c>
      <c r="U106" s="33">
        <f>IF(E106="","",(I106*R106)/1000)</f>
        <v>0</v>
      </c>
      <c r="V106" s="123">
        <f>IF(G106="",0,(G106*H106)/3600)</f>
        <v>0</v>
      </c>
      <c r="W106" s="45">
        <f>IFERROR(IF(E106="","",(H106/P106)),0)</f>
        <v>0</v>
      </c>
      <c r="X106" s="23">
        <f>WEEKDAY(A106,1)</f>
        <v>4</v>
      </c>
      <c r="Y106" s="120">
        <f>MONTH(A106)</f>
        <v>8</v>
      </c>
      <c r="Z106" s="125">
        <f>WEEKNUM(A106)-WEEKNUM(DATE(YEAR(A106),MONTH(A106),1))+1</f>
        <v>1</v>
      </c>
      <c r="AA106" s="126">
        <f>IF(V106="",0,V106/8)</f>
        <v>0</v>
      </c>
      <c r="AB106" s="125">
        <f>IF(E106="02PZ03405",0,1)</f>
        <v>0</v>
      </c>
    </row>
    <row r="107" spans="1:28" x14ac:dyDescent="0.2">
      <c r="A107" s="37">
        <v>44775</v>
      </c>
      <c r="B107" s="31" t="s">
        <v>86</v>
      </c>
      <c r="C107" s="31" t="s">
        <v>91</v>
      </c>
      <c r="D107" s="38">
        <v>5</v>
      </c>
      <c r="E107" s="39" t="s">
        <v>248</v>
      </c>
      <c r="F107" s="33" t="str">
        <f>IF(E107="","",VLOOKUP(E107,'Base Datos'!$A$2:$M$150,2,FALSE))</f>
        <v>No funciona por Falta personal</v>
      </c>
      <c r="G107" s="99"/>
      <c r="H107" s="102"/>
      <c r="I107" s="32"/>
      <c r="J107" s="32"/>
      <c r="K107" s="31"/>
      <c r="L107" s="39"/>
      <c r="M107" s="33">
        <f>IF(E107="","",VLOOKUP(E107,'Base Datos'!$A$2:$M$150,3,FALSE))</f>
        <v>0</v>
      </c>
      <c r="N107" s="23">
        <f>IF(E107="","",VLOOKUP(E107,'Base Datos'!$A$2:$M$150,4,FALSE))</f>
        <v>0</v>
      </c>
      <c r="O107" s="23">
        <f>IF(E107="","",VLOOKUP(E107,'Base Datos'!$A$2:$M$150,5,FALSE))</f>
        <v>0</v>
      </c>
      <c r="P107" s="23">
        <f>IF(E107="","",VLOOKUP(E107,'Base Datos'!$A$2:$M$150,6,FALSE))</f>
        <v>0</v>
      </c>
      <c r="Q107" s="23">
        <f>IF(E107="","",VLOOKUP(E107,'Base Datos'!$A$2:$M$150,7,FALSE))</f>
        <v>0</v>
      </c>
      <c r="R107" s="40">
        <f>IF(E107="","",VLOOKUP(E107,'Base Datos'!$A$2:$M$150,8,FALSE))</f>
        <v>0</v>
      </c>
      <c r="S107" s="40">
        <f>IF(E107="","",VLOOKUP(E107,'Base Datos'!$A$2:$M$150,9,FALSE))</f>
        <v>0</v>
      </c>
      <c r="T107" s="33">
        <f>IF(E107="","",(H107*I107)-(J107+K107))</f>
        <v>0</v>
      </c>
      <c r="U107" s="33">
        <f>IF(E107="","",(I107*R107)/1000)</f>
        <v>0</v>
      </c>
      <c r="V107" s="123">
        <f>IF(G107="",0,(G107*H107)/3600)</f>
        <v>0</v>
      </c>
      <c r="W107" s="45">
        <f>IFERROR(IF(E107="","",(H107/P107)),0)</f>
        <v>0</v>
      </c>
      <c r="X107" s="94">
        <f>WEEKDAY(A107,1)</f>
        <v>3</v>
      </c>
      <c r="Y107" s="120">
        <f>MONTH(A107)</f>
        <v>8</v>
      </c>
      <c r="Z107" s="125">
        <f>WEEKNUM(A107)-WEEKNUM(DATE(YEAR(A107),MONTH(A107),1))+1</f>
        <v>1</v>
      </c>
      <c r="AA107" s="126">
        <f>IF(V107="",0,V107/8)</f>
        <v>0</v>
      </c>
      <c r="AB107" s="125">
        <f>IF(E107="02PZ03405",0,1)</f>
        <v>0</v>
      </c>
    </row>
    <row r="108" spans="1:28" x14ac:dyDescent="0.2">
      <c r="A108" s="37">
        <v>44775</v>
      </c>
      <c r="B108" s="31" t="s">
        <v>86</v>
      </c>
      <c r="C108" s="31" t="s">
        <v>91</v>
      </c>
      <c r="D108" s="38">
        <v>4</v>
      </c>
      <c r="E108" s="39" t="s">
        <v>248</v>
      </c>
      <c r="F108" s="33" t="str">
        <f>IF(E108="","",VLOOKUP(E108,'Base Datos'!$A$2:$M$150,2,FALSE))</f>
        <v>No funciona por Falta personal</v>
      </c>
      <c r="G108" s="99"/>
      <c r="H108" s="102"/>
      <c r="I108" s="32"/>
      <c r="J108" s="32"/>
      <c r="K108" s="31"/>
      <c r="L108" s="39"/>
      <c r="M108" s="33">
        <f>IF(E108="","",VLOOKUP(E108,'Base Datos'!$A$2:$M$150,3,FALSE))</f>
        <v>0</v>
      </c>
      <c r="N108" s="23">
        <f>IF(E108="","",VLOOKUP(E108,'Base Datos'!$A$2:$M$150,4,FALSE))</f>
        <v>0</v>
      </c>
      <c r="O108" s="23">
        <f>IF(E108="","",VLOOKUP(E108,'Base Datos'!$A$2:$M$150,5,FALSE))</f>
        <v>0</v>
      </c>
      <c r="P108" s="23">
        <f>IF(E108="","",VLOOKUP(E108,'Base Datos'!$A$2:$M$150,6,FALSE))</f>
        <v>0</v>
      </c>
      <c r="Q108" s="23">
        <f>IF(E108="","",VLOOKUP(E108,'Base Datos'!$A$2:$M$150,7,FALSE))</f>
        <v>0</v>
      </c>
      <c r="R108" s="40">
        <f>IF(E108="","",VLOOKUP(E108,'Base Datos'!$A$2:$M$150,8,FALSE))</f>
        <v>0</v>
      </c>
      <c r="S108" s="40">
        <f>IF(E108="","",VLOOKUP(E108,'Base Datos'!$A$2:$M$150,9,FALSE))</f>
        <v>0</v>
      </c>
      <c r="T108" s="33">
        <f>IF(E108="","",(H108*I108)-(J108+K108))</f>
        <v>0</v>
      </c>
      <c r="U108" s="33">
        <f>IF(E108="","",(I108*R108)/1000)</f>
        <v>0</v>
      </c>
      <c r="V108" s="123">
        <f>IF(G108="",0,(G108*H108)/3600)</f>
        <v>0</v>
      </c>
      <c r="W108" s="45">
        <f>IFERROR(IF(E108="","",(H108/P108)),0)</f>
        <v>0</v>
      </c>
      <c r="X108" s="94">
        <f>WEEKDAY(A108,1)</f>
        <v>3</v>
      </c>
      <c r="Y108" s="120">
        <f>MONTH(A108)</f>
        <v>8</v>
      </c>
      <c r="Z108" s="125">
        <f>WEEKNUM(A108)-WEEKNUM(DATE(YEAR(A108),MONTH(A108),1))+1</f>
        <v>1</v>
      </c>
      <c r="AA108" s="126">
        <f>IF(V108="",0,V108/8)</f>
        <v>0</v>
      </c>
      <c r="AB108" s="125">
        <f>IF(E108="02PZ03405",0,1)</f>
        <v>0</v>
      </c>
    </row>
    <row r="109" spans="1:28" x14ac:dyDescent="0.2">
      <c r="A109" s="37">
        <v>44775</v>
      </c>
      <c r="B109" s="31" t="s">
        <v>86</v>
      </c>
      <c r="C109" s="31" t="s">
        <v>91</v>
      </c>
      <c r="D109" s="38">
        <v>2</v>
      </c>
      <c r="E109" s="39" t="s">
        <v>248</v>
      </c>
      <c r="F109" s="33" t="str">
        <f>IF(E109="","",VLOOKUP(E109,'Base Datos'!$A$2:$M$150,2,FALSE))</f>
        <v>No funciona por Falta personal</v>
      </c>
      <c r="G109" s="99"/>
      <c r="H109" s="102"/>
      <c r="I109" s="32"/>
      <c r="J109" s="32"/>
      <c r="K109" s="31"/>
      <c r="L109" s="39"/>
      <c r="M109" s="33">
        <f>IF(E109="","",VLOOKUP(E109,'Base Datos'!$A$2:$M$150,3,FALSE))</f>
        <v>0</v>
      </c>
      <c r="N109" s="23">
        <f>IF(E109="","",VLOOKUP(E109,'Base Datos'!$A$2:$M$150,4,FALSE))</f>
        <v>0</v>
      </c>
      <c r="O109" s="23">
        <f>IF(E109="","",VLOOKUP(E109,'Base Datos'!$A$2:$M$150,5,FALSE))</f>
        <v>0</v>
      </c>
      <c r="P109" s="23">
        <f>IF(E109="","",VLOOKUP(E109,'Base Datos'!$A$2:$M$150,6,FALSE))</f>
        <v>0</v>
      </c>
      <c r="Q109" s="23">
        <f>IF(E109="","",VLOOKUP(E109,'Base Datos'!$A$2:$M$150,7,FALSE))</f>
        <v>0</v>
      </c>
      <c r="R109" s="40">
        <f>IF(E109="","",VLOOKUP(E109,'Base Datos'!$A$2:$M$150,8,FALSE))</f>
        <v>0</v>
      </c>
      <c r="S109" s="40">
        <f>IF(E109="","",VLOOKUP(E109,'Base Datos'!$A$2:$M$150,9,FALSE))</f>
        <v>0</v>
      </c>
      <c r="T109" s="33">
        <f>IF(E109="","",(H109*I109)-(J109+K109))</f>
        <v>0</v>
      </c>
      <c r="U109" s="33">
        <f>IF(E109="","",(I109*R109)/1000)</f>
        <v>0</v>
      </c>
      <c r="V109" s="123">
        <f>IF(G109="",0,(G109*H109)/3600)</f>
        <v>0</v>
      </c>
      <c r="W109" s="45">
        <f>IFERROR(IF(E109="","",(H109/P109)),0)</f>
        <v>0</v>
      </c>
      <c r="X109" s="94">
        <f>WEEKDAY(A109,1)</f>
        <v>3</v>
      </c>
      <c r="Y109" s="120">
        <f>MONTH(A109)</f>
        <v>8</v>
      </c>
      <c r="Z109" s="125">
        <f>WEEKNUM(A109)-WEEKNUM(DATE(YEAR(A109),MONTH(A109),1))+1</f>
        <v>1</v>
      </c>
      <c r="AA109" s="126">
        <f>IF(V109="",0,V109/8)</f>
        <v>0</v>
      </c>
      <c r="AB109" s="125">
        <f>IF(E109="02PZ03405",0,1)</f>
        <v>0</v>
      </c>
    </row>
    <row r="110" spans="1:28" x14ac:dyDescent="0.2">
      <c r="A110" s="37">
        <v>44762</v>
      </c>
      <c r="B110" s="31" t="s">
        <v>86</v>
      </c>
      <c r="C110" s="31" t="s">
        <v>91</v>
      </c>
      <c r="D110" s="38">
        <v>5</v>
      </c>
      <c r="E110" s="39" t="s">
        <v>248</v>
      </c>
      <c r="F110" s="33" t="str">
        <f>IF(E110="","",VLOOKUP(E110,'Base Datos'!$A$2:$M$150,2,FALSE))</f>
        <v>No funciona por Falta personal</v>
      </c>
      <c r="G110" s="99"/>
      <c r="H110" s="102"/>
      <c r="I110" s="32"/>
      <c r="J110" s="32"/>
      <c r="K110" s="31"/>
      <c r="L110" s="39"/>
      <c r="M110" s="33">
        <f>IF(E110="","",VLOOKUP(E110,'Base Datos'!$A$2:$M$150,3,FALSE))</f>
        <v>0</v>
      </c>
      <c r="N110" s="23">
        <f>IF(E110="","",VLOOKUP(E110,'Base Datos'!$A$2:$M$150,4,FALSE))</f>
        <v>0</v>
      </c>
      <c r="O110" s="23">
        <f>IF(E110="","",VLOOKUP(E110,'Base Datos'!$A$2:$M$150,5,FALSE))</f>
        <v>0</v>
      </c>
      <c r="P110" s="23">
        <f>IF(E110="","",VLOOKUP(E110,'Base Datos'!$A$2:$M$150,6,FALSE))</f>
        <v>0</v>
      </c>
      <c r="Q110" s="23">
        <f>IF(E110="","",VLOOKUP(E110,'Base Datos'!$A$2:$M$150,7,FALSE))</f>
        <v>0</v>
      </c>
      <c r="R110" s="40">
        <f>IF(E110="","",VLOOKUP(E110,'Base Datos'!$A$2:$M$150,8,FALSE))</f>
        <v>0</v>
      </c>
      <c r="S110" s="40">
        <f>IF(E110="","",VLOOKUP(E110,'Base Datos'!$A$2:$M$150,9,FALSE))</f>
        <v>0</v>
      </c>
      <c r="T110" s="33">
        <f>IF(E110="","",(H110*I110)-(J110+K110))</f>
        <v>0</v>
      </c>
      <c r="U110" s="33">
        <f>IF(E110="","",(I110*R110)/1000)</f>
        <v>0</v>
      </c>
      <c r="V110" s="123">
        <f>IF(G110="",0,(G110*H110)/3600)</f>
        <v>0</v>
      </c>
      <c r="W110" s="45">
        <f>IFERROR(IF(E110="","",(H110/P110)),0)</f>
        <v>0</v>
      </c>
      <c r="X110" s="94">
        <f>WEEKDAY(A110,1)</f>
        <v>4</v>
      </c>
      <c r="Y110" s="120">
        <f>MONTH(A110)</f>
        <v>7</v>
      </c>
      <c r="Z110" s="125">
        <f>WEEKNUM(A110)-WEEKNUM(DATE(YEAR(A110),MONTH(A110),1))+1</f>
        <v>4</v>
      </c>
      <c r="AA110" s="126">
        <f>IF(V110="",0,V110/8)</f>
        <v>0</v>
      </c>
      <c r="AB110" s="125">
        <f>IF(E110="02PZ03405",0,1)</f>
        <v>0</v>
      </c>
    </row>
    <row r="111" spans="1:28" x14ac:dyDescent="0.2">
      <c r="A111" s="37">
        <v>44762</v>
      </c>
      <c r="B111" s="31" t="s">
        <v>86</v>
      </c>
      <c r="C111" s="31" t="s">
        <v>91</v>
      </c>
      <c r="D111" s="38">
        <v>4</v>
      </c>
      <c r="E111" s="39" t="s">
        <v>248</v>
      </c>
      <c r="F111" s="33" t="str">
        <f>IF(E111="","",VLOOKUP(E111,'Base Datos'!$A$2:$M$150,2,FALSE))</f>
        <v>No funciona por Falta personal</v>
      </c>
      <c r="G111" s="99"/>
      <c r="H111" s="102"/>
      <c r="I111" s="32"/>
      <c r="J111" s="32"/>
      <c r="K111" s="31"/>
      <c r="L111" s="39"/>
      <c r="M111" s="33">
        <f>IF(E111="","",VLOOKUP(E111,'Base Datos'!$A$2:$M$150,3,FALSE))</f>
        <v>0</v>
      </c>
      <c r="N111" s="23">
        <f>IF(E111="","",VLOOKUP(E111,'Base Datos'!$A$2:$M$150,4,FALSE))</f>
        <v>0</v>
      </c>
      <c r="O111" s="23">
        <f>IF(E111="","",VLOOKUP(E111,'Base Datos'!$A$2:$M$150,5,FALSE))</f>
        <v>0</v>
      </c>
      <c r="P111" s="23">
        <f>IF(E111="","",VLOOKUP(E111,'Base Datos'!$A$2:$M$150,6,FALSE))</f>
        <v>0</v>
      </c>
      <c r="Q111" s="23">
        <f>IF(E111="","",VLOOKUP(E111,'Base Datos'!$A$2:$M$150,7,FALSE))</f>
        <v>0</v>
      </c>
      <c r="R111" s="40">
        <f>IF(E111="","",VLOOKUP(E111,'Base Datos'!$A$2:$M$150,8,FALSE))</f>
        <v>0</v>
      </c>
      <c r="S111" s="40">
        <f>IF(E111="","",VLOOKUP(E111,'Base Datos'!$A$2:$M$150,9,FALSE))</f>
        <v>0</v>
      </c>
      <c r="T111" s="33">
        <f>IF(E111="","",(H111*I111)-(J111+K111))</f>
        <v>0</v>
      </c>
      <c r="U111" s="33">
        <f>IF(E111="","",(I111*R111)/1000)</f>
        <v>0</v>
      </c>
      <c r="V111" s="123">
        <f>IF(G111="",0,(G111*H111)/3600)</f>
        <v>0</v>
      </c>
      <c r="W111" s="45">
        <f>IFERROR(IF(E111="","",(H111/P111)),0)</f>
        <v>0</v>
      </c>
      <c r="X111" s="94">
        <f>WEEKDAY(A111,1)</f>
        <v>4</v>
      </c>
      <c r="Y111" s="120">
        <f>MONTH(A111)</f>
        <v>7</v>
      </c>
      <c r="Z111" s="125">
        <f>WEEKNUM(A111)-WEEKNUM(DATE(YEAR(A111),MONTH(A111),1))+1</f>
        <v>4</v>
      </c>
      <c r="AA111" s="126">
        <f>IF(V111="",0,V111/8)</f>
        <v>0</v>
      </c>
      <c r="AB111" s="125">
        <f>IF(E111="02PZ03405",0,1)</f>
        <v>0</v>
      </c>
    </row>
    <row r="112" spans="1:28" x14ac:dyDescent="0.2">
      <c r="A112" s="37">
        <v>44757</v>
      </c>
      <c r="B112" s="31" t="s">
        <v>86</v>
      </c>
      <c r="C112" s="31" t="s">
        <v>91</v>
      </c>
      <c r="D112" s="38">
        <v>5</v>
      </c>
      <c r="E112" s="39" t="s">
        <v>248</v>
      </c>
      <c r="F112" s="33" t="str">
        <f>IF(E112="","",VLOOKUP(E112,'Base Datos'!$A$2:$M$150,2,FALSE))</f>
        <v>No funciona por Falta personal</v>
      </c>
      <c r="G112" s="99"/>
      <c r="H112" s="102"/>
      <c r="I112" s="32"/>
      <c r="J112" s="32"/>
      <c r="K112" s="31"/>
      <c r="L112" s="39"/>
      <c r="M112" s="33">
        <f>IF(E112="","",VLOOKUP(E112,'Base Datos'!$A$2:$M$150,3,FALSE))</f>
        <v>0</v>
      </c>
      <c r="N112" s="23">
        <f>IF(E112="","",VLOOKUP(E112,'Base Datos'!$A$2:$M$150,4,FALSE))</f>
        <v>0</v>
      </c>
      <c r="O112" s="23">
        <f>IF(E112="","",VLOOKUP(E112,'Base Datos'!$A$2:$M$150,5,FALSE))</f>
        <v>0</v>
      </c>
      <c r="P112" s="23">
        <f>IF(E112="","",VLOOKUP(E112,'Base Datos'!$A$2:$M$150,6,FALSE))</f>
        <v>0</v>
      </c>
      <c r="Q112" s="23">
        <f>IF(E112="","",VLOOKUP(E112,'Base Datos'!$A$2:$M$150,7,FALSE))</f>
        <v>0</v>
      </c>
      <c r="R112" s="40">
        <f>IF(E112="","",VLOOKUP(E112,'Base Datos'!$A$2:$M$150,8,FALSE))</f>
        <v>0</v>
      </c>
      <c r="S112" s="40">
        <f>IF(E112="","",VLOOKUP(E112,'Base Datos'!$A$2:$M$150,9,FALSE))</f>
        <v>0</v>
      </c>
      <c r="T112" s="33">
        <f>IF(E112="","",(H112*I112)-(J112+K112))</f>
        <v>0</v>
      </c>
      <c r="U112" s="33">
        <f>IF(E112="","",(I112*R112)/1000)</f>
        <v>0</v>
      </c>
      <c r="V112" s="123">
        <f>IF(G112="",0,(G112*H112)/3600)</f>
        <v>0</v>
      </c>
      <c r="W112" s="45">
        <f>IFERROR(IF(E112="","",(H112/P112)),0)</f>
        <v>0</v>
      </c>
      <c r="X112" s="94">
        <f>WEEKDAY(A112,1)</f>
        <v>6</v>
      </c>
      <c r="Y112" s="120">
        <f>MONTH(A112)</f>
        <v>7</v>
      </c>
      <c r="Z112" s="125">
        <f>WEEKNUM(A112)-WEEKNUM(DATE(YEAR(A112),MONTH(A112),1))+1</f>
        <v>3</v>
      </c>
      <c r="AA112" s="126">
        <f>IF(V112="",0,V112/8)</f>
        <v>0</v>
      </c>
      <c r="AB112" s="125">
        <f>IF(E112="02PZ03405",0,1)</f>
        <v>0</v>
      </c>
    </row>
    <row r="113" spans="1:28" x14ac:dyDescent="0.2">
      <c r="A113" s="37">
        <v>44757</v>
      </c>
      <c r="B113" s="31" t="s">
        <v>86</v>
      </c>
      <c r="C113" s="31" t="s">
        <v>91</v>
      </c>
      <c r="D113" s="38">
        <v>4</v>
      </c>
      <c r="E113" s="39" t="s">
        <v>248</v>
      </c>
      <c r="F113" s="33" t="str">
        <f>IF(E113="","",VLOOKUP(E113,'Base Datos'!$A$2:$M$150,2,FALSE))</f>
        <v>No funciona por Falta personal</v>
      </c>
      <c r="G113" s="99"/>
      <c r="H113" s="102"/>
      <c r="I113" s="32"/>
      <c r="J113" s="32"/>
      <c r="K113" s="31"/>
      <c r="L113" s="39"/>
      <c r="M113" s="33">
        <f>IF(E113="","",VLOOKUP(E113,'Base Datos'!$A$2:$M$150,3,FALSE))</f>
        <v>0</v>
      </c>
      <c r="N113" s="23">
        <f>IF(E113="","",VLOOKUP(E113,'Base Datos'!$A$2:$M$150,4,FALSE))</f>
        <v>0</v>
      </c>
      <c r="O113" s="23">
        <f>IF(E113="","",VLOOKUP(E113,'Base Datos'!$A$2:$M$150,5,FALSE))</f>
        <v>0</v>
      </c>
      <c r="P113" s="23">
        <f>IF(E113="","",VLOOKUP(E113,'Base Datos'!$A$2:$M$150,6,FALSE))</f>
        <v>0</v>
      </c>
      <c r="Q113" s="23">
        <f>IF(E113="","",VLOOKUP(E113,'Base Datos'!$A$2:$M$150,7,FALSE))</f>
        <v>0</v>
      </c>
      <c r="R113" s="40">
        <f>IF(E113="","",VLOOKUP(E113,'Base Datos'!$A$2:$M$150,8,FALSE))</f>
        <v>0</v>
      </c>
      <c r="S113" s="40">
        <f>IF(E113="","",VLOOKUP(E113,'Base Datos'!$A$2:$M$150,9,FALSE))</f>
        <v>0</v>
      </c>
      <c r="T113" s="33">
        <f>IF(E113="","",(H113*I113)-(J113+K113))</f>
        <v>0</v>
      </c>
      <c r="U113" s="33">
        <f>IF(E113="","",(I113*R113)/1000)</f>
        <v>0</v>
      </c>
      <c r="V113" s="123">
        <f>IF(G113="",0,(G113*H113)/3600)</f>
        <v>0</v>
      </c>
      <c r="W113" s="45">
        <f>IFERROR(IF(E113="","",(H113/P113)),0)</f>
        <v>0</v>
      </c>
      <c r="X113" s="94">
        <f>WEEKDAY(A113,1)</f>
        <v>6</v>
      </c>
      <c r="Y113" s="120">
        <f>MONTH(A113)</f>
        <v>7</v>
      </c>
      <c r="Z113" s="125">
        <f>WEEKNUM(A113)-WEEKNUM(DATE(YEAR(A113),MONTH(A113),1))+1</f>
        <v>3</v>
      </c>
      <c r="AA113" s="126">
        <f>IF(V113="",0,V113/8)</f>
        <v>0</v>
      </c>
      <c r="AB113" s="125">
        <f>IF(E113="02PZ03405",0,1)</f>
        <v>0</v>
      </c>
    </row>
    <row r="114" spans="1:28" x14ac:dyDescent="0.2">
      <c r="A114" s="37">
        <v>44750</v>
      </c>
      <c r="B114" s="31" t="s">
        <v>86</v>
      </c>
      <c r="C114" s="31" t="s">
        <v>91</v>
      </c>
      <c r="D114" s="38">
        <v>4</v>
      </c>
      <c r="E114" s="39" t="s">
        <v>248</v>
      </c>
      <c r="F114" s="33" t="str">
        <f>IF(E114="","",VLOOKUP(E114,'Base Datos'!$A$2:$M$150,2,FALSE))</f>
        <v>No funciona por Falta personal</v>
      </c>
      <c r="G114" s="32"/>
      <c r="H114" s="102"/>
      <c r="I114" s="32"/>
      <c r="J114" s="32"/>
      <c r="K114" s="31"/>
      <c r="L114" s="39"/>
      <c r="M114" s="33">
        <f>IF(E114="","",VLOOKUP(E114,'Base Datos'!$A$2:$M$150,3,FALSE))</f>
        <v>0</v>
      </c>
      <c r="N114" s="23">
        <f>IF(E114="","",VLOOKUP(E114,'Base Datos'!$A$2:$M$150,4,FALSE))</f>
        <v>0</v>
      </c>
      <c r="O114" s="23">
        <f>IF(E114="","",VLOOKUP(E114,'Base Datos'!$A$2:$M$150,5,FALSE))</f>
        <v>0</v>
      </c>
      <c r="P114" s="23">
        <f>IF(E114="","",VLOOKUP(E114,'Base Datos'!$A$2:$M$150,6,FALSE))</f>
        <v>0</v>
      </c>
      <c r="Q114" s="23">
        <f>IF(E114="","",VLOOKUP(E114,'Base Datos'!$A$2:$M$150,7,FALSE))</f>
        <v>0</v>
      </c>
      <c r="R114" s="40">
        <f>IF(E114="","",VLOOKUP(E114,'Base Datos'!$A$2:$M$150,8,FALSE))</f>
        <v>0</v>
      </c>
      <c r="S114" s="40">
        <f>IF(E114="","",VLOOKUP(E114,'Base Datos'!$A$2:$M$150,9,FALSE))</f>
        <v>0</v>
      </c>
      <c r="T114" s="33">
        <f>IF(E114="","",(H114*I114)-(J114+K114))</f>
        <v>0</v>
      </c>
      <c r="U114" s="33">
        <f>IF(E114="","",(I114*R114)/1000)</f>
        <v>0</v>
      </c>
      <c r="V114" s="123">
        <f>IF(G114="",0,(G114*H114)/3600)</f>
        <v>0</v>
      </c>
      <c r="W114" s="45">
        <f>IFERROR(IF(E114="","",(H114/P114)),0)</f>
        <v>0</v>
      </c>
      <c r="X114" s="94">
        <f>WEEKDAY(A114,1)</f>
        <v>6</v>
      </c>
      <c r="Y114" s="120">
        <f>MONTH(A114)</f>
        <v>7</v>
      </c>
      <c r="Z114" s="125">
        <f>WEEKNUM(A114)-WEEKNUM(DATE(YEAR(A114),MONTH(A114),1))+1</f>
        <v>2</v>
      </c>
      <c r="AA114" s="126">
        <f>IF(V114="",0,V114/8)</f>
        <v>0</v>
      </c>
      <c r="AB114" s="125">
        <f>IF(E114="02PZ03405",0,1)</f>
        <v>0</v>
      </c>
    </row>
    <row r="115" spans="1:28" x14ac:dyDescent="0.2">
      <c r="A115" s="37">
        <v>44750</v>
      </c>
      <c r="B115" s="31" t="s">
        <v>86</v>
      </c>
      <c r="C115" s="31" t="s">
        <v>91</v>
      </c>
      <c r="D115" s="38">
        <v>1</v>
      </c>
      <c r="E115" s="39" t="s">
        <v>248</v>
      </c>
      <c r="F115" s="33" t="str">
        <f>IF(E115="","",VLOOKUP(E115,'Base Datos'!$A$2:$M$150,2,FALSE))</f>
        <v>No funciona por Falta personal</v>
      </c>
      <c r="G115" s="32"/>
      <c r="H115" s="102"/>
      <c r="I115" s="32"/>
      <c r="J115" s="32"/>
      <c r="K115" s="31"/>
      <c r="L115" s="39"/>
      <c r="M115" s="33">
        <f>IF(E115="","",VLOOKUP(E115,'Base Datos'!$A$2:$M$150,3,FALSE))</f>
        <v>0</v>
      </c>
      <c r="N115" s="23">
        <f>IF(E115="","",VLOOKUP(E115,'Base Datos'!$A$2:$M$150,4,FALSE))</f>
        <v>0</v>
      </c>
      <c r="O115" s="23">
        <f>IF(E115="","",VLOOKUP(E115,'Base Datos'!$A$2:$M$150,5,FALSE))</f>
        <v>0</v>
      </c>
      <c r="P115" s="23">
        <f>IF(E115="","",VLOOKUP(E115,'Base Datos'!$A$2:$M$150,6,FALSE))</f>
        <v>0</v>
      </c>
      <c r="Q115" s="23">
        <f>IF(E115="","",VLOOKUP(E115,'Base Datos'!$A$2:$M$150,7,FALSE))</f>
        <v>0</v>
      </c>
      <c r="R115" s="40">
        <f>IF(E115="","",VLOOKUP(E115,'Base Datos'!$A$2:$M$150,8,FALSE))</f>
        <v>0</v>
      </c>
      <c r="S115" s="40">
        <f>IF(E115="","",VLOOKUP(E115,'Base Datos'!$A$2:$M$150,9,FALSE))</f>
        <v>0</v>
      </c>
      <c r="T115" s="33">
        <f>IF(E115="","",(H115*I115)-(J115+K115))</f>
        <v>0</v>
      </c>
      <c r="U115" s="33">
        <f>IF(E115="","",(I115*R115)/1000)</f>
        <v>0</v>
      </c>
      <c r="V115" s="123">
        <f>IF(G115="",0,(G115*H115)/3600)</f>
        <v>0</v>
      </c>
      <c r="W115" s="45">
        <f>IFERROR(IF(E115="","",(H115/P115)),0)</f>
        <v>0</v>
      </c>
      <c r="X115" s="94">
        <f>WEEKDAY(A115,1)</f>
        <v>6</v>
      </c>
      <c r="Y115" s="120">
        <f>MONTH(A115)</f>
        <v>7</v>
      </c>
      <c r="Z115" s="125">
        <f>WEEKNUM(A115)-WEEKNUM(DATE(YEAR(A115),MONTH(A115),1))+1</f>
        <v>2</v>
      </c>
      <c r="AA115" s="126">
        <f>IF(V115="",0,V115/8)</f>
        <v>0</v>
      </c>
      <c r="AB115" s="125">
        <f>IF(E115="02PZ03405",0,1)</f>
        <v>0</v>
      </c>
    </row>
    <row r="116" spans="1:28" x14ac:dyDescent="0.2">
      <c r="A116" s="101">
        <v>44749</v>
      </c>
      <c r="B116" s="31" t="s">
        <v>86</v>
      </c>
      <c r="C116" s="31" t="s">
        <v>91</v>
      </c>
      <c r="D116" s="38">
        <v>5</v>
      </c>
      <c r="E116" s="39" t="s">
        <v>248</v>
      </c>
      <c r="F116" s="33" t="str">
        <f>IF(E116="","",VLOOKUP(E116,'Base Datos'!$A$2:$M$150,2,FALSE))</f>
        <v>No funciona por Falta personal</v>
      </c>
      <c r="G116" s="32"/>
      <c r="H116" s="32"/>
      <c r="I116" s="32"/>
      <c r="J116" s="32"/>
      <c r="K116" s="31"/>
      <c r="L116" s="39"/>
      <c r="M116" s="33">
        <f>IF(E116="","",VLOOKUP(E116,'Base Datos'!$A$2:$M$150,3,FALSE))</f>
        <v>0</v>
      </c>
      <c r="N116" s="23">
        <f>IF(E116="","",VLOOKUP(E116,'Base Datos'!$A$2:$M$150,4,FALSE))</f>
        <v>0</v>
      </c>
      <c r="O116" s="23">
        <f>IF(E116="","",VLOOKUP(E116,'Base Datos'!$A$2:$M$150,5,FALSE))</f>
        <v>0</v>
      </c>
      <c r="P116" s="23">
        <f>IF(E116="","",VLOOKUP(E116,'Base Datos'!$A$2:$M$150,6,FALSE))</f>
        <v>0</v>
      </c>
      <c r="Q116" s="23">
        <f>IF(E116="","",VLOOKUP(E116,'Base Datos'!$A$2:$M$150,7,FALSE))</f>
        <v>0</v>
      </c>
      <c r="R116" s="40">
        <f>IF(E116="","",VLOOKUP(E116,'Base Datos'!$A$2:$M$150,8,FALSE))</f>
        <v>0</v>
      </c>
      <c r="S116" s="40">
        <f>IF(E116="","",VLOOKUP(E116,'Base Datos'!$A$2:$M$150,9,FALSE))</f>
        <v>0</v>
      </c>
      <c r="T116" s="33">
        <f>IF(E116="","",(H116*I116)-(J116+K116))</f>
        <v>0</v>
      </c>
      <c r="U116" s="33">
        <f>IF(E116="","",(H116*R116)/1000)</f>
        <v>0</v>
      </c>
      <c r="V116" s="123">
        <f>IF(G116="",0,(G116*H116)/3600)</f>
        <v>0</v>
      </c>
      <c r="W116" s="45">
        <f>IFERROR(IF(E116="","",(H116/P116)),0)</f>
        <v>0</v>
      </c>
      <c r="X116" s="94">
        <f>WEEKDAY(A116,1)</f>
        <v>5</v>
      </c>
      <c r="Y116" s="120">
        <f>MONTH(A116)</f>
        <v>7</v>
      </c>
      <c r="Z116" s="125">
        <f>WEEKNUM(A116)-WEEKNUM(DATE(YEAR(A116),MONTH(A116),1))+1</f>
        <v>2</v>
      </c>
      <c r="AA116" s="126">
        <f>IF(V116="",0,V116/8)</f>
        <v>0</v>
      </c>
      <c r="AB116" s="125">
        <f>IF(E116="02PZ03405",0,1)</f>
        <v>0</v>
      </c>
    </row>
    <row r="117" spans="1:28" x14ac:dyDescent="0.2">
      <c r="A117" s="101">
        <v>44748</v>
      </c>
      <c r="B117" s="96" t="s">
        <v>86</v>
      </c>
      <c r="C117" s="96" t="s">
        <v>91</v>
      </c>
      <c r="D117" s="38">
        <v>5</v>
      </c>
      <c r="E117" s="39" t="s">
        <v>248</v>
      </c>
      <c r="F117" s="95" t="str">
        <f>IF(E117="","",VLOOKUP(E117,'Base Datos'!$A$2:$M$150,2,FALSE))</f>
        <v>No funciona por Falta personal</v>
      </c>
      <c r="G117" s="99"/>
      <c r="H117" s="99"/>
      <c r="I117" s="99"/>
      <c r="J117" s="99"/>
      <c r="K117" s="39"/>
      <c r="L117" s="39"/>
      <c r="M117" s="97">
        <f>IF(E117="","",VLOOKUP(E117,'Base Datos'!$A$2:$M$150,3,FALSE))</f>
        <v>0</v>
      </c>
      <c r="N117" s="40">
        <f>IF(E117="","",VLOOKUP(E117,'Base Datos'!$A$2:$M$150,4,FALSE))</f>
        <v>0</v>
      </c>
      <c r="O117" s="40">
        <f>IF(E117="","",VLOOKUP(E117,'Base Datos'!$A$2:$M$150,5,FALSE))</f>
        <v>0</v>
      </c>
      <c r="P117" s="40">
        <f>IF(E117="","",VLOOKUP(E117,'Base Datos'!$A$2:$M$150,6,FALSE))</f>
        <v>0</v>
      </c>
      <c r="Q117" s="40">
        <f>IF(E117="","",VLOOKUP(E117,'Base Datos'!$A$2:$M$150,7,FALSE))</f>
        <v>0</v>
      </c>
      <c r="R117" s="40">
        <f>IF(E117="","",VLOOKUP(E117,'Base Datos'!$A$2:$M$150,8,FALSE))</f>
        <v>0</v>
      </c>
      <c r="S117" s="40">
        <f>IF(E117="","",VLOOKUP(E117,'Base Datos'!$A$2:$M$150,9,FALSE))</f>
        <v>0</v>
      </c>
      <c r="T117" s="97">
        <f>IF(E117="","",(H117*I117)-(J117+K117))</f>
        <v>0</v>
      </c>
      <c r="U117" s="98">
        <f>IF(E117="","",(H117*R117)/1000)</f>
        <v>0</v>
      </c>
      <c r="V117" s="123">
        <f>IF(G117="",0,(G117*H117)/3600)</f>
        <v>0</v>
      </c>
      <c r="W117" s="45">
        <f>IFERROR(IF(E117="","",(H117/P117)),0)</f>
        <v>0</v>
      </c>
      <c r="X117" s="94">
        <f>WEEKDAY(A117,1)</f>
        <v>4</v>
      </c>
      <c r="Y117" s="120">
        <f>MONTH(A117)</f>
        <v>7</v>
      </c>
      <c r="Z117" s="125">
        <f>WEEKNUM(A117)-WEEKNUM(DATE(YEAR(A117),MONTH(A117),1))+1</f>
        <v>2</v>
      </c>
      <c r="AA117" s="126">
        <f>IF(V117="",0,V117/8)</f>
        <v>0</v>
      </c>
      <c r="AB117" s="125">
        <f>IF(E117="02PZ03405",0,1)</f>
        <v>0</v>
      </c>
    </row>
    <row r="118" spans="1:28" x14ac:dyDescent="0.2">
      <c r="A118" s="101">
        <v>44748</v>
      </c>
      <c r="B118" s="96" t="s">
        <v>86</v>
      </c>
      <c r="C118" s="96" t="s">
        <v>91</v>
      </c>
      <c r="D118" s="38">
        <v>3</v>
      </c>
      <c r="E118" s="39" t="s">
        <v>248</v>
      </c>
      <c r="F118" s="95" t="str">
        <f>IF(E118="","",VLOOKUP(E118,'Base Datos'!$A$2:$M$150,2,FALSE))</f>
        <v>No funciona por Falta personal</v>
      </c>
      <c r="G118" s="99"/>
      <c r="H118" s="99"/>
      <c r="I118" s="99"/>
      <c r="J118" s="99"/>
      <c r="K118" s="39"/>
      <c r="L118" s="39"/>
      <c r="M118" s="97">
        <f>IF(E118="","",VLOOKUP(E118,'Base Datos'!$A$2:$M$150,3,FALSE))</f>
        <v>0</v>
      </c>
      <c r="N118" s="40">
        <f>IF(E118="","",VLOOKUP(E118,'Base Datos'!$A$2:$M$150,4,FALSE))</f>
        <v>0</v>
      </c>
      <c r="O118" s="40">
        <f>IF(E118="","",VLOOKUP(E118,'Base Datos'!$A$2:$M$150,5,FALSE))</f>
        <v>0</v>
      </c>
      <c r="P118" s="40">
        <f>IF(E118="","",VLOOKUP(E118,'Base Datos'!$A$2:$M$150,6,FALSE))</f>
        <v>0</v>
      </c>
      <c r="Q118" s="40">
        <f>IF(E118="","",VLOOKUP(E118,'Base Datos'!$A$2:$M$150,7,FALSE))</f>
        <v>0</v>
      </c>
      <c r="R118" s="40">
        <f>IF(E118="","",VLOOKUP(E118,'Base Datos'!$A$2:$M$150,8,FALSE))</f>
        <v>0</v>
      </c>
      <c r="S118" s="40">
        <f>IF(E118="","",VLOOKUP(E118,'Base Datos'!$A$2:$M$150,9,FALSE))</f>
        <v>0</v>
      </c>
      <c r="T118" s="97">
        <f>IF(E118="","",(H118*I118)-(J118+K118))</f>
        <v>0</v>
      </c>
      <c r="U118" s="98">
        <f>IF(E118="","",(H118*R118)/1000)</f>
        <v>0</v>
      </c>
      <c r="V118" s="123">
        <f>IF(G118="",0,(G118*H118)/3600)</f>
        <v>0</v>
      </c>
      <c r="W118" s="45">
        <f>IFERROR(IF(E118="","",(H118/P118)),0)</f>
        <v>0</v>
      </c>
      <c r="X118" s="94">
        <f>WEEKDAY(A118,1)</f>
        <v>4</v>
      </c>
      <c r="Y118" s="120">
        <f>MONTH(A118)</f>
        <v>7</v>
      </c>
      <c r="Z118" s="125">
        <f>WEEKNUM(A118)-WEEKNUM(DATE(YEAR(A118),MONTH(A118),1))+1</f>
        <v>2</v>
      </c>
      <c r="AA118" s="126">
        <f>IF(V118="",0,V118/8)</f>
        <v>0</v>
      </c>
      <c r="AB118" s="125">
        <f>IF(E118="02PZ03405",0,1)</f>
        <v>0</v>
      </c>
    </row>
    <row r="119" spans="1:28" x14ac:dyDescent="0.2">
      <c r="A119" s="101">
        <v>44748</v>
      </c>
      <c r="B119" s="96" t="s">
        <v>86</v>
      </c>
      <c r="C119" s="96" t="s">
        <v>91</v>
      </c>
      <c r="D119" s="38">
        <v>1</v>
      </c>
      <c r="E119" s="39" t="s">
        <v>248</v>
      </c>
      <c r="F119" s="95" t="str">
        <f>IF(E119="","",VLOOKUP(E119,'Base Datos'!$A$2:$M$150,2,FALSE))</f>
        <v>No funciona por Falta personal</v>
      </c>
      <c r="G119" s="99"/>
      <c r="H119" s="99"/>
      <c r="I119" s="99"/>
      <c r="J119" s="99"/>
      <c r="K119" s="39"/>
      <c r="L119" s="39">
        <v>183471</v>
      </c>
      <c r="M119" s="97">
        <f>IF(E119="","",VLOOKUP(E119,'Base Datos'!$A$2:$M$150,3,FALSE))</f>
        <v>0</v>
      </c>
      <c r="N119" s="40">
        <f>IF(E119="","",VLOOKUP(E119,'Base Datos'!$A$2:$M$150,4,FALSE))</f>
        <v>0</v>
      </c>
      <c r="O119" s="40">
        <f>IF(E119="","",VLOOKUP(E119,'Base Datos'!$A$2:$M$150,5,FALSE))</f>
        <v>0</v>
      </c>
      <c r="P119" s="40">
        <f>IF(E119="","",VLOOKUP(E119,'Base Datos'!$A$2:$M$150,6,FALSE))</f>
        <v>0</v>
      </c>
      <c r="Q119" s="40">
        <f>IF(E119="","",VLOOKUP(E119,'Base Datos'!$A$2:$M$150,7,FALSE))</f>
        <v>0</v>
      </c>
      <c r="R119" s="40">
        <f>IF(E119="","",VLOOKUP(E119,'Base Datos'!$A$2:$M$150,8,FALSE))</f>
        <v>0</v>
      </c>
      <c r="S119" s="40">
        <f>IF(E119="","",VLOOKUP(E119,'Base Datos'!$A$2:$M$150,9,FALSE))</f>
        <v>0</v>
      </c>
      <c r="T119" s="97">
        <f>IF(E119="","",(H119*I119)-(J119+K119))</f>
        <v>0</v>
      </c>
      <c r="U119" s="98">
        <f>IF(E119="","",(H119*R119)/1000)</f>
        <v>0</v>
      </c>
      <c r="V119" s="123">
        <f>IF(G119="",0,(G119*H119)/3600)</f>
        <v>0</v>
      </c>
      <c r="W119" s="45">
        <f>IFERROR(IF(E119="","",(H119/P119)),0)</f>
        <v>0</v>
      </c>
      <c r="X119" s="94">
        <f>WEEKDAY(A119,1)</f>
        <v>4</v>
      </c>
      <c r="Y119" s="120">
        <f>MONTH(A119)</f>
        <v>7</v>
      </c>
      <c r="Z119" s="125">
        <f>WEEKNUM(A119)-WEEKNUM(DATE(YEAR(A119),MONTH(A119),1))+1</f>
        <v>2</v>
      </c>
      <c r="AA119" s="126">
        <f>IF(V119="",0,V119/8)</f>
        <v>0</v>
      </c>
      <c r="AB119" s="125">
        <f>IF(E119="02PZ03405",0,1)</f>
        <v>0</v>
      </c>
    </row>
    <row r="120" spans="1:28" x14ac:dyDescent="0.2">
      <c r="A120" s="37">
        <v>44768</v>
      </c>
      <c r="B120" s="31" t="s">
        <v>86</v>
      </c>
      <c r="C120" s="31" t="s">
        <v>90</v>
      </c>
      <c r="D120" s="38">
        <v>2</v>
      </c>
      <c r="E120" s="39" t="s">
        <v>248</v>
      </c>
      <c r="F120" s="33" t="str">
        <f>IF(E120="","",VLOOKUP(E120,'Base Datos'!$A$2:$M$150,2,FALSE))</f>
        <v>No funciona por Falta personal</v>
      </c>
      <c r="G120" s="99"/>
      <c r="H120" s="102"/>
      <c r="I120" s="32"/>
      <c r="J120" s="32"/>
      <c r="K120" s="31"/>
      <c r="L120" s="39"/>
      <c r="M120" s="33">
        <f>IF(E120="","",VLOOKUP(E120,'Base Datos'!$A$2:$M$150,3,FALSE))</f>
        <v>0</v>
      </c>
      <c r="N120" s="23">
        <f>IF(E120="","",VLOOKUP(E120,'Base Datos'!$A$2:$M$150,4,FALSE))</f>
        <v>0</v>
      </c>
      <c r="O120" s="23">
        <f>IF(E120="","",VLOOKUP(E120,'Base Datos'!$A$2:$M$150,5,FALSE))</f>
        <v>0</v>
      </c>
      <c r="P120" s="23">
        <f>IF(E120="","",VLOOKUP(E120,'Base Datos'!$A$2:$M$150,6,FALSE))</f>
        <v>0</v>
      </c>
      <c r="Q120" s="23">
        <f>IF(E120="","",VLOOKUP(E120,'Base Datos'!$A$2:$M$150,7,FALSE))</f>
        <v>0</v>
      </c>
      <c r="R120" s="40">
        <f>IF(E120="","",VLOOKUP(E120,'Base Datos'!$A$2:$M$150,8,FALSE))</f>
        <v>0</v>
      </c>
      <c r="S120" s="40">
        <f>IF(E120="","",VLOOKUP(E120,'Base Datos'!$A$2:$M$150,9,FALSE))</f>
        <v>0</v>
      </c>
      <c r="T120" s="33">
        <f>IF(E120="","",(H120*I120)-(J120+K120))</f>
        <v>0</v>
      </c>
      <c r="U120" s="33">
        <f>IF(E120="","",(I120*R120)/1000)</f>
        <v>0</v>
      </c>
      <c r="V120" s="123">
        <f>IF(G120="",0,(G120*H120)/3600)</f>
        <v>0</v>
      </c>
      <c r="W120" s="45">
        <f>IFERROR(IF(E120="","",(H120/P120)),0)</f>
        <v>0</v>
      </c>
      <c r="X120" s="94">
        <f>WEEKDAY(A120,1)</f>
        <v>3</v>
      </c>
      <c r="Y120" s="120">
        <f>MONTH(A120)</f>
        <v>7</v>
      </c>
      <c r="Z120" s="125">
        <f>WEEKNUM(A120)-WEEKNUM(DATE(YEAR(A120),MONTH(A120),1))+1</f>
        <v>5</v>
      </c>
      <c r="AA120" s="126">
        <f>IF(V120="",0,V120/8)</f>
        <v>0</v>
      </c>
      <c r="AB120" s="125">
        <f>IF(E120="02PZ03405",0,1)</f>
        <v>0</v>
      </c>
    </row>
    <row r="121" spans="1:28" x14ac:dyDescent="0.2">
      <c r="A121" s="37">
        <v>44768</v>
      </c>
      <c r="B121" s="31" t="s">
        <v>86</v>
      </c>
      <c r="C121" s="31" t="s">
        <v>90</v>
      </c>
      <c r="D121" s="38">
        <v>5</v>
      </c>
      <c r="E121" s="39" t="s">
        <v>248</v>
      </c>
      <c r="F121" s="33" t="str">
        <f>IF(E121="","",VLOOKUP(E121,'Base Datos'!$A$2:$M$150,2,FALSE))</f>
        <v>No funciona por Falta personal</v>
      </c>
      <c r="G121" s="99"/>
      <c r="H121" s="102"/>
      <c r="I121" s="32"/>
      <c r="J121" s="32"/>
      <c r="K121" s="31"/>
      <c r="L121" s="39"/>
      <c r="M121" s="33">
        <f>IF(E121="","",VLOOKUP(E121,'Base Datos'!$A$2:$M$150,3,FALSE))</f>
        <v>0</v>
      </c>
      <c r="N121" s="23">
        <f>IF(E121="","",VLOOKUP(E121,'Base Datos'!$A$2:$M$150,4,FALSE))</f>
        <v>0</v>
      </c>
      <c r="O121" s="23">
        <f>IF(E121="","",VLOOKUP(E121,'Base Datos'!$A$2:$M$150,5,FALSE))</f>
        <v>0</v>
      </c>
      <c r="P121" s="23">
        <f>IF(E121="","",VLOOKUP(E121,'Base Datos'!$A$2:$M$150,6,FALSE))</f>
        <v>0</v>
      </c>
      <c r="Q121" s="23">
        <f>IF(E121="","",VLOOKUP(E121,'Base Datos'!$A$2:$M$150,7,FALSE))</f>
        <v>0</v>
      </c>
      <c r="R121" s="40">
        <f>IF(E121="","",VLOOKUP(E121,'Base Datos'!$A$2:$M$150,8,FALSE))</f>
        <v>0</v>
      </c>
      <c r="S121" s="40">
        <f>IF(E121="","",VLOOKUP(E121,'Base Datos'!$A$2:$M$150,9,FALSE))</f>
        <v>0</v>
      </c>
      <c r="T121" s="33">
        <f>IF(E121="","",(H121*I121)-(J121+K121))</f>
        <v>0</v>
      </c>
      <c r="U121" s="33">
        <f>IF(E121="","",(I121*R121)/1000)</f>
        <v>0</v>
      </c>
      <c r="V121" s="123">
        <f>IF(G121="",0,(G121*H121)/3600)</f>
        <v>0</v>
      </c>
      <c r="W121" s="45">
        <f>IFERROR(IF(E121="","",(H121/P121)),0)</f>
        <v>0</v>
      </c>
      <c r="X121" s="94">
        <f>WEEKDAY(A121,1)</f>
        <v>3</v>
      </c>
      <c r="Y121" s="120">
        <f>MONTH(A121)</f>
        <v>7</v>
      </c>
      <c r="Z121" s="125">
        <f>WEEKNUM(A121)-WEEKNUM(DATE(YEAR(A121),MONTH(A121),1))+1</f>
        <v>5</v>
      </c>
      <c r="AA121" s="126">
        <f>IF(V121="",0,V121/8)</f>
        <v>0</v>
      </c>
      <c r="AB121" s="125">
        <f>IF(E121="02PZ03405",0,1)</f>
        <v>0</v>
      </c>
    </row>
    <row r="122" spans="1:28" x14ac:dyDescent="0.2">
      <c r="A122" s="37">
        <v>44768</v>
      </c>
      <c r="B122" s="31" t="s">
        <v>86</v>
      </c>
      <c r="C122" s="31" t="s">
        <v>90</v>
      </c>
      <c r="D122" s="38">
        <v>4</v>
      </c>
      <c r="E122" s="39" t="s">
        <v>248</v>
      </c>
      <c r="F122" s="33" t="str">
        <f>IF(E122="","",VLOOKUP(E122,'Base Datos'!$A$2:$M$150,2,FALSE))</f>
        <v>No funciona por Falta personal</v>
      </c>
      <c r="G122" s="99"/>
      <c r="H122" s="102"/>
      <c r="I122" s="32"/>
      <c r="J122" s="32"/>
      <c r="K122" s="31"/>
      <c r="L122" s="39"/>
      <c r="M122" s="33">
        <f>IF(E122="","",VLOOKUP(E122,'Base Datos'!$A$2:$M$150,3,FALSE))</f>
        <v>0</v>
      </c>
      <c r="N122" s="23">
        <f>IF(E122="","",VLOOKUP(E122,'Base Datos'!$A$2:$M$150,4,FALSE))</f>
        <v>0</v>
      </c>
      <c r="O122" s="23">
        <f>IF(E122="","",VLOOKUP(E122,'Base Datos'!$A$2:$M$150,5,FALSE))</f>
        <v>0</v>
      </c>
      <c r="P122" s="23">
        <f>IF(E122="","",VLOOKUP(E122,'Base Datos'!$A$2:$M$150,6,FALSE))</f>
        <v>0</v>
      </c>
      <c r="Q122" s="23">
        <f>IF(E122="","",VLOOKUP(E122,'Base Datos'!$A$2:$M$150,7,FALSE))</f>
        <v>0</v>
      </c>
      <c r="R122" s="40">
        <f>IF(E122="","",VLOOKUP(E122,'Base Datos'!$A$2:$M$150,8,FALSE))</f>
        <v>0</v>
      </c>
      <c r="S122" s="40">
        <f>IF(E122="","",VLOOKUP(E122,'Base Datos'!$A$2:$M$150,9,FALSE))</f>
        <v>0</v>
      </c>
      <c r="T122" s="33">
        <f>IF(E122="","",(H122*I122)-(J122+K122))</f>
        <v>0</v>
      </c>
      <c r="U122" s="33">
        <f>IF(E122="","",(I122*R122)/1000)</f>
        <v>0</v>
      </c>
      <c r="V122" s="123">
        <f>IF(G122="",0,(G122*H122)/3600)</f>
        <v>0</v>
      </c>
      <c r="W122" s="45">
        <f>IFERROR(IF(E122="","",(H122/P122)),0)</f>
        <v>0</v>
      </c>
      <c r="X122" s="94">
        <f>WEEKDAY(A122,1)</f>
        <v>3</v>
      </c>
      <c r="Y122" s="120">
        <f>MONTH(A122)</f>
        <v>7</v>
      </c>
      <c r="Z122" s="125">
        <f>WEEKNUM(A122)-WEEKNUM(DATE(YEAR(A122),MONTH(A122),1))+1</f>
        <v>5</v>
      </c>
      <c r="AA122" s="126">
        <f>IF(V122="",0,V122/8)</f>
        <v>0</v>
      </c>
      <c r="AB122" s="125">
        <f>IF(E122="02PZ03405",0,1)</f>
        <v>0</v>
      </c>
    </row>
    <row r="123" spans="1:28" x14ac:dyDescent="0.2">
      <c r="A123" s="37">
        <v>44768</v>
      </c>
      <c r="B123" s="31" t="s">
        <v>86</v>
      </c>
      <c r="C123" s="31" t="s">
        <v>90</v>
      </c>
      <c r="D123" s="38">
        <v>3</v>
      </c>
      <c r="E123" s="39" t="s">
        <v>248</v>
      </c>
      <c r="F123" s="33" t="str">
        <f>IF(E123="","",VLOOKUP(E123,'Base Datos'!$A$2:$M$150,2,FALSE))</f>
        <v>No funciona por Falta personal</v>
      </c>
      <c r="G123" s="99"/>
      <c r="H123" s="102"/>
      <c r="I123" s="32"/>
      <c r="J123" s="32"/>
      <c r="K123" s="31"/>
      <c r="L123" s="39"/>
      <c r="M123" s="33">
        <f>IF(E123="","",VLOOKUP(E123,'Base Datos'!$A$2:$M$150,3,FALSE))</f>
        <v>0</v>
      </c>
      <c r="N123" s="23">
        <f>IF(E123="","",VLOOKUP(E123,'Base Datos'!$A$2:$M$150,4,FALSE))</f>
        <v>0</v>
      </c>
      <c r="O123" s="23">
        <f>IF(E123="","",VLOOKUP(E123,'Base Datos'!$A$2:$M$150,5,FALSE))</f>
        <v>0</v>
      </c>
      <c r="P123" s="23">
        <f>IF(E123="","",VLOOKUP(E123,'Base Datos'!$A$2:$M$150,6,FALSE))</f>
        <v>0</v>
      </c>
      <c r="Q123" s="23">
        <f>IF(E123="","",VLOOKUP(E123,'Base Datos'!$A$2:$M$150,7,FALSE))</f>
        <v>0</v>
      </c>
      <c r="R123" s="40">
        <f>IF(E123="","",VLOOKUP(E123,'Base Datos'!$A$2:$M$150,8,FALSE))</f>
        <v>0</v>
      </c>
      <c r="S123" s="40">
        <f>IF(E123="","",VLOOKUP(E123,'Base Datos'!$A$2:$M$150,9,FALSE))</f>
        <v>0</v>
      </c>
      <c r="T123" s="33">
        <f>IF(E123="","",(H123*I123)-(J123+K123))</f>
        <v>0</v>
      </c>
      <c r="U123" s="33">
        <f>IF(E123="","",(I123*R123)/1000)</f>
        <v>0</v>
      </c>
      <c r="V123" s="123">
        <f>IF(G123="",0,(G123*H123)/3600)</f>
        <v>0</v>
      </c>
      <c r="W123" s="45">
        <f>IFERROR(IF(E123="","",(H123/P123)),0)</f>
        <v>0</v>
      </c>
      <c r="X123" s="94">
        <f>WEEKDAY(A123,1)</f>
        <v>3</v>
      </c>
      <c r="Y123" s="120">
        <f>MONTH(A123)</f>
        <v>7</v>
      </c>
      <c r="Z123" s="125">
        <f>WEEKNUM(A123)-WEEKNUM(DATE(YEAR(A123),MONTH(A123),1))+1</f>
        <v>5</v>
      </c>
      <c r="AA123" s="126">
        <f>IF(V123="",0,V123/8)</f>
        <v>0</v>
      </c>
      <c r="AB123" s="125">
        <f>IF(E123="02PZ03405",0,1)</f>
        <v>0</v>
      </c>
    </row>
    <row r="124" spans="1:28" x14ac:dyDescent="0.2">
      <c r="A124" s="37">
        <v>44768</v>
      </c>
      <c r="B124" s="31" t="s">
        <v>86</v>
      </c>
      <c r="C124" s="31" t="s">
        <v>90</v>
      </c>
      <c r="D124" s="38">
        <v>1</v>
      </c>
      <c r="E124" s="39" t="s">
        <v>248</v>
      </c>
      <c r="F124" s="33" t="str">
        <f>IF(E124="","",VLOOKUP(E124,'Base Datos'!$A$2:$M$150,2,FALSE))</f>
        <v>No funciona por Falta personal</v>
      </c>
      <c r="G124" s="99"/>
      <c r="H124" s="102"/>
      <c r="I124" s="32"/>
      <c r="J124" s="32"/>
      <c r="K124" s="31"/>
      <c r="L124" s="39"/>
      <c r="M124" s="33">
        <f>IF(E124="","",VLOOKUP(E124,'Base Datos'!$A$2:$M$150,3,FALSE))</f>
        <v>0</v>
      </c>
      <c r="N124" s="23">
        <f>IF(E124="","",VLOOKUP(E124,'Base Datos'!$A$2:$M$150,4,FALSE))</f>
        <v>0</v>
      </c>
      <c r="O124" s="23">
        <f>IF(E124="","",VLOOKUP(E124,'Base Datos'!$A$2:$M$150,5,FALSE))</f>
        <v>0</v>
      </c>
      <c r="P124" s="23">
        <f>IF(E124="","",VLOOKUP(E124,'Base Datos'!$A$2:$M$150,6,FALSE))</f>
        <v>0</v>
      </c>
      <c r="Q124" s="23">
        <f>IF(E124="","",VLOOKUP(E124,'Base Datos'!$A$2:$M$150,7,FALSE))</f>
        <v>0</v>
      </c>
      <c r="R124" s="40">
        <f>IF(E124="","",VLOOKUP(E124,'Base Datos'!$A$2:$M$150,8,FALSE))</f>
        <v>0</v>
      </c>
      <c r="S124" s="40">
        <f>IF(E124="","",VLOOKUP(E124,'Base Datos'!$A$2:$M$150,9,FALSE))</f>
        <v>0</v>
      </c>
      <c r="T124" s="33">
        <f>IF(E124="","",(H124*I124)-(J124+K124))</f>
        <v>0</v>
      </c>
      <c r="U124" s="33">
        <f>IF(E124="","",(I124*R124)/1000)</f>
        <v>0</v>
      </c>
      <c r="V124" s="123">
        <f>IF(G124="",0,(G124*H124)/3600)</f>
        <v>0</v>
      </c>
      <c r="W124" s="45">
        <f>IFERROR(IF(E124="","",(H124/P124)),0)</f>
        <v>0</v>
      </c>
      <c r="X124" s="94">
        <f>WEEKDAY(A124,1)</f>
        <v>3</v>
      </c>
      <c r="Y124" s="120">
        <f>MONTH(A124)</f>
        <v>7</v>
      </c>
      <c r="Z124" s="125">
        <f>WEEKNUM(A124)-WEEKNUM(DATE(YEAR(A124),MONTH(A124),1))+1</f>
        <v>5</v>
      </c>
      <c r="AA124" s="126">
        <f>IF(V124="",0,V124/8)</f>
        <v>0</v>
      </c>
      <c r="AB124" s="125">
        <f>IF(E124="02PZ03405",0,1)</f>
        <v>0</v>
      </c>
    </row>
    <row r="125" spans="1:28" x14ac:dyDescent="0.2">
      <c r="A125" s="37">
        <v>44762</v>
      </c>
      <c r="B125" s="31" t="s">
        <v>86</v>
      </c>
      <c r="C125" s="31" t="s">
        <v>90</v>
      </c>
      <c r="D125" s="38">
        <v>3</v>
      </c>
      <c r="E125" s="39" t="s">
        <v>248</v>
      </c>
      <c r="F125" s="33" t="str">
        <f>IF(E125="","",VLOOKUP(E125,'Base Datos'!$A$2:$M$150,2,FALSE))</f>
        <v>No funciona por Falta personal</v>
      </c>
      <c r="G125" s="99"/>
      <c r="H125" s="102"/>
      <c r="I125" s="32"/>
      <c r="J125" s="32"/>
      <c r="K125" s="31"/>
      <c r="L125" s="39"/>
      <c r="M125" s="33">
        <f>IF(E125="","",VLOOKUP(E125,'Base Datos'!$A$2:$M$150,3,FALSE))</f>
        <v>0</v>
      </c>
      <c r="N125" s="23">
        <f>IF(E125="","",VLOOKUP(E125,'Base Datos'!$A$2:$M$150,4,FALSE))</f>
        <v>0</v>
      </c>
      <c r="O125" s="23">
        <f>IF(E125="","",VLOOKUP(E125,'Base Datos'!$A$2:$M$150,5,FALSE))</f>
        <v>0</v>
      </c>
      <c r="P125" s="23">
        <f>IF(E125="","",VLOOKUP(E125,'Base Datos'!$A$2:$M$150,6,FALSE))</f>
        <v>0</v>
      </c>
      <c r="Q125" s="23">
        <f>IF(E125="","",VLOOKUP(E125,'Base Datos'!$A$2:$M$150,7,FALSE))</f>
        <v>0</v>
      </c>
      <c r="R125" s="40">
        <f>IF(E125="","",VLOOKUP(E125,'Base Datos'!$A$2:$M$150,8,FALSE))</f>
        <v>0</v>
      </c>
      <c r="S125" s="40">
        <f>IF(E125="","",VLOOKUP(E125,'Base Datos'!$A$2:$M$150,9,FALSE))</f>
        <v>0</v>
      </c>
      <c r="T125" s="33">
        <f>IF(E125="","",(H125*I125)-(J125+K125))</f>
        <v>0</v>
      </c>
      <c r="U125" s="33">
        <f>IF(E125="","",(I125*R125)/1000)</f>
        <v>0</v>
      </c>
      <c r="V125" s="123">
        <f>IF(G125="",0,(G125*H125)/3600)</f>
        <v>0</v>
      </c>
      <c r="W125" s="45">
        <f>IFERROR(IF(E125="","",(H125/P125)),0)</f>
        <v>0</v>
      </c>
      <c r="X125" s="94">
        <f>WEEKDAY(A125,1)</f>
        <v>4</v>
      </c>
      <c r="Y125" s="120">
        <f>MONTH(A125)</f>
        <v>7</v>
      </c>
      <c r="Z125" s="125">
        <f>WEEKNUM(A125)-WEEKNUM(DATE(YEAR(A125),MONTH(A125),1))+1</f>
        <v>4</v>
      </c>
      <c r="AA125" s="126">
        <f>IF(V125="",0,V125/8)</f>
        <v>0</v>
      </c>
      <c r="AB125" s="125">
        <f>IF(E125="02PZ03405",0,1)</f>
        <v>0</v>
      </c>
    </row>
    <row r="126" spans="1:28" x14ac:dyDescent="0.2">
      <c r="A126" s="37">
        <v>44762</v>
      </c>
      <c r="B126" s="31" t="s">
        <v>86</v>
      </c>
      <c r="C126" s="31" t="s">
        <v>90</v>
      </c>
      <c r="D126" s="38">
        <v>2</v>
      </c>
      <c r="E126" s="39" t="s">
        <v>248</v>
      </c>
      <c r="F126" s="33" t="str">
        <f>IF(E126="","",VLOOKUP(E126,'Base Datos'!$A$2:$M$150,2,FALSE))</f>
        <v>No funciona por Falta personal</v>
      </c>
      <c r="G126" s="99"/>
      <c r="H126" s="102"/>
      <c r="I126" s="32"/>
      <c r="J126" s="32"/>
      <c r="K126" s="31"/>
      <c r="L126" s="39"/>
      <c r="M126" s="33">
        <f>IF(E126="","",VLOOKUP(E126,'Base Datos'!$A$2:$M$150,3,FALSE))</f>
        <v>0</v>
      </c>
      <c r="N126" s="23">
        <f>IF(E126="","",VLOOKUP(E126,'Base Datos'!$A$2:$M$150,4,FALSE))</f>
        <v>0</v>
      </c>
      <c r="O126" s="23">
        <f>IF(E126="","",VLOOKUP(E126,'Base Datos'!$A$2:$M$150,5,FALSE))</f>
        <v>0</v>
      </c>
      <c r="P126" s="23">
        <f>IF(E126="","",VLOOKUP(E126,'Base Datos'!$A$2:$M$150,6,FALSE))</f>
        <v>0</v>
      </c>
      <c r="Q126" s="23">
        <f>IF(E126="","",VLOOKUP(E126,'Base Datos'!$A$2:$M$150,7,FALSE))</f>
        <v>0</v>
      </c>
      <c r="R126" s="40">
        <f>IF(E126="","",VLOOKUP(E126,'Base Datos'!$A$2:$M$150,8,FALSE))</f>
        <v>0</v>
      </c>
      <c r="S126" s="40">
        <f>IF(E126="","",VLOOKUP(E126,'Base Datos'!$A$2:$M$150,9,FALSE))</f>
        <v>0</v>
      </c>
      <c r="T126" s="33">
        <f>IF(E126="","",(H126*I126)-(J126+K126))</f>
        <v>0</v>
      </c>
      <c r="U126" s="33">
        <f>IF(E126="","",(I126*R126)/1000)</f>
        <v>0</v>
      </c>
      <c r="V126" s="123">
        <f>IF(G126="",0,(G126*H126)/3600)</f>
        <v>0</v>
      </c>
      <c r="W126" s="45">
        <f>IFERROR(IF(E126="","",(H126/P126)),0)</f>
        <v>0</v>
      </c>
      <c r="X126" s="94">
        <f>WEEKDAY(A126,1)</f>
        <v>4</v>
      </c>
      <c r="Y126" s="120">
        <f>MONTH(A126)</f>
        <v>7</v>
      </c>
      <c r="Z126" s="125">
        <f>WEEKNUM(A126)-WEEKNUM(DATE(YEAR(A126),MONTH(A126),1))+1</f>
        <v>4</v>
      </c>
      <c r="AA126" s="126">
        <f>IF(V126="",0,V126/8)</f>
        <v>0</v>
      </c>
      <c r="AB126" s="125">
        <f>IF(E126="02PZ03405",0,1)</f>
        <v>0</v>
      </c>
    </row>
    <row r="127" spans="1:28" x14ac:dyDescent="0.2">
      <c r="A127" s="37">
        <v>44762</v>
      </c>
      <c r="B127" s="31" t="s">
        <v>86</v>
      </c>
      <c r="C127" s="31" t="s">
        <v>90</v>
      </c>
      <c r="D127" s="38">
        <v>1</v>
      </c>
      <c r="E127" s="39" t="s">
        <v>248</v>
      </c>
      <c r="F127" s="33" t="str">
        <f>IF(E127="","",VLOOKUP(E127,'Base Datos'!$A$2:$M$150,2,FALSE))</f>
        <v>No funciona por Falta personal</v>
      </c>
      <c r="G127" s="99"/>
      <c r="H127" s="102"/>
      <c r="I127" s="32"/>
      <c r="J127" s="32"/>
      <c r="K127" s="31"/>
      <c r="L127" s="39"/>
      <c r="M127" s="33">
        <f>IF(E127="","",VLOOKUP(E127,'Base Datos'!$A$2:$M$150,3,FALSE))</f>
        <v>0</v>
      </c>
      <c r="N127" s="23">
        <f>IF(E127="","",VLOOKUP(E127,'Base Datos'!$A$2:$M$150,4,FALSE))</f>
        <v>0</v>
      </c>
      <c r="O127" s="23">
        <f>IF(E127="","",VLOOKUP(E127,'Base Datos'!$A$2:$M$150,5,FALSE))</f>
        <v>0</v>
      </c>
      <c r="P127" s="23">
        <f>IF(E127="","",VLOOKUP(E127,'Base Datos'!$A$2:$M$150,6,FALSE))</f>
        <v>0</v>
      </c>
      <c r="Q127" s="23">
        <f>IF(E127="","",VLOOKUP(E127,'Base Datos'!$A$2:$M$150,7,FALSE))</f>
        <v>0</v>
      </c>
      <c r="R127" s="40">
        <f>IF(E127="","",VLOOKUP(E127,'Base Datos'!$A$2:$M$150,8,FALSE))</f>
        <v>0</v>
      </c>
      <c r="S127" s="40">
        <f>IF(E127="","",VLOOKUP(E127,'Base Datos'!$A$2:$M$150,9,FALSE))</f>
        <v>0</v>
      </c>
      <c r="T127" s="33">
        <f>IF(E127="","",(H127*I127)-(J127+K127))</f>
        <v>0</v>
      </c>
      <c r="U127" s="33">
        <f>IF(E127="","",(I127*R127)/1000)</f>
        <v>0</v>
      </c>
      <c r="V127" s="123">
        <f>IF(G127="",0,(G127*H127)/3600)</f>
        <v>0</v>
      </c>
      <c r="W127" s="45">
        <f>IFERROR(IF(E127="","",(H127/P127)),0)</f>
        <v>0</v>
      </c>
      <c r="X127" s="94">
        <f>WEEKDAY(A127,1)</f>
        <v>4</v>
      </c>
      <c r="Y127" s="120">
        <f>MONTH(A127)</f>
        <v>7</v>
      </c>
      <c r="Z127" s="125">
        <f>WEEKNUM(A127)-WEEKNUM(DATE(YEAR(A127),MONTH(A127),1))+1</f>
        <v>4</v>
      </c>
      <c r="AA127" s="126">
        <f>IF(V127="",0,V127/8)</f>
        <v>0</v>
      </c>
      <c r="AB127" s="125">
        <f>IF(E127="02PZ03405",0,1)</f>
        <v>0</v>
      </c>
    </row>
    <row r="128" spans="1:28" x14ac:dyDescent="0.2">
      <c r="A128" s="37">
        <v>44747</v>
      </c>
      <c r="B128" s="119" t="s">
        <v>86</v>
      </c>
      <c r="C128" s="31" t="s">
        <v>90</v>
      </c>
      <c r="D128" s="38">
        <v>5</v>
      </c>
      <c r="E128" s="39" t="s">
        <v>248</v>
      </c>
      <c r="F128" s="33" t="str">
        <f>IF(E128="","",VLOOKUP(E128,'Base Datos'!$A$2:$M$150,2,FALSE))</f>
        <v>No funciona por Falta personal</v>
      </c>
      <c r="G128" s="99"/>
      <c r="H128" s="102"/>
      <c r="I128" s="32"/>
      <c r="J128" s="32"/>
      <c r="K128" s="31"/>
      <c r="L128" s="39"/>
      <c r="M128" s="33">
        <f>IF(E128="","",VLOOKUP(E128,'Base Datos'!$A$2:$M$150,3,FALSE))</f>
        <v>0</v>
      </c>
      <c r="N128" s="23">
        <f>IF(E128="","",VLOOKUP(E128,'Base Datos'!$A$2:$M$150,4,FALSE))</f>
        <v>0</v>
      </c>
      <c r="O128" s="23">
        <f>IF(E128="","",VLOOKUP(E128,'Base Datos'!$A$2:$M$150,5,FALSE))</f>
        <v>0</v>
      </c>
      <c r="P128" s="23">
        <f>IF(E128="","",VLOOKUP(E128,'Base Datos'!$A$2:$M$150,6,FALSE))</f>
        <v>0</v>
      </c>
      <c r="Q128" s="23">
        <f>IF(E128="","",VLOOKUP(E128,'Base Datos'!$A$2:$M$150,7,FALSE))</f>
        <v>0</v>
      </c>
      <c r="R128" s="40">
        <f>IF(E128="","",VLOOKUP(E128,'Base Datos'!$A$2:$M$150,8,FALSE))</f>
        <v>0</v>
      </c>
      <c r="S128" s="40">
        <f>IF(E128="","",VLOOKUP(E128,'Base Datos'!$A$2:$M$150,9,FALSE))</f>
        <v>0</v>
      </c>
      <c r="T128" s="33">
        <f>IF(E128="","",(H128*I128)-(J128+K128))</f>
        <v>0</v>
      </c>
      <c r="U128" s="33">
        <f>IF(E128="","",(I128*R128)/1000)</f>
        <v>0</v>
      </c>
      <c r="V128" s="123">
        <f>IF(G128="",0,(G128*H128)/3600)</f>
        <v>0</v>
      </c>
      <c r="W128" s="45">
        <f>IFERROR(IF(E128="","",(H128/P128)),0)</f>
        <v>0</v>
      </c>
      <c r="X128" s="94">
        <f>WEEKDAY(A128,1)</f>
        <v>3</v>
      </c>
      <c r="Y128" s="120">
        <f>MONTH(A128)</f>
        <v>7</v>
      </c>
      <c r="Z128" s="125">
        <f>WEEKNUM(A128)-WEEKNUM(DATE(YEAR(A128),MONTH(A128),1))+1</f>
        <v>2</v>
      </c>
      <c r="AA128" s="126">
        <f>IF(V128="",0,V128/8)</f>
        <v>0</v>
      </c>
      <c r="AB128" s="125">
        <f>IF(E128="02PZ03405",0,1)</f>
        <v>0</v>
      </c>
    </row>
    <row r="129" spans="1:28" x14ac:dyDescent="0.2">
      <c r="A129" s="101">
        <v>44749</v>
      </c>
      <c r="B129" s="31" t="s">
        <v>86</v>
      </c>
      <c r="C129" s="31" t="s">
        <v>90</v>
      </c>
      <c r="D129" s="38">
        <v>4</v>
      </c>
      <c r="E129" s="39" t="s">
        <v>248</v>
      </c>
      <c r="F129" s="33" t="str">
        <f>IF(E129="","",VLOOKUP(E129,'Base Datos'!$A$2:$M$150,2,FALSE))</f>
        <v>No funciona por Falta personal</v>
      </c>
      <c r="G129" s="32"/>
      <c r="H129" s="32"/>
      <c r="I129" s="32"/>
      <c r="J129" s="32"/>
      <c r="K129" s="31"/>
      <c r="L129" s="39"/>
      <c r="M129" s="33">
        <f>IF(E129="","",VLOOKUP(E129,'Base Datos'!$A$2:$M$150,3,FALSE))</f>
        <v>0</v>
      </c>
      <c r="N129" s="23">
        <f>IF(E129="","",VLOOKUP(E129,'Base Datos'!$A$2:$M$150,4,FALSE))</f>
        <v>0</v>
      </c>
      <c r="O129" s="23">
        <f>IF(E129="","",VLOOKUP(E129,'Base Datos'!$A$2:$M$150,5,FALSE))</f>
        <v>0</v>
      </c>
      <c r="P129" s="23">
        <f>IF(E129="","",VLOOKUP(E129,'Base Datos'!$A$2:$M$150,6,FALSE))</f>
        <v>0</v>
      </c>
      <c r="Q129" s="23">
        <f>IF(E129="","",VLOOKUP(E129,'Base Datos'!$A$2:$M$150,7,FALSE))</f>
        <v>0</v>
      </c>
      <c r="R129" s="40">
        <f>IF(E129="","",VLOOKUP(E129,'Base Datos'!$A$2:$M$150,8,FALSE))</f>
        <v>0</v>
      </c>
      <c r="S129" s="40">
        <f>IF(E129="","",VLOOKUP(E129,'Base Datos'!$A$2:$M$150,9,FALSE))</f>
        <v>0</v>
      </c>
      <c r="T129" s="33">
        <f>IF(E129="","",(H129*I129)-(J129+K129))</f>
        <v>0</v>
      </c>
      <c r="U129" s="33">
        <f>IF(E129="","",(H129*R129)/1000)</f>
        <v>0</v>
      </c>
      <c r="V129" s="123">
        <f>IF(G129="",0,(G129*H129)/3600)</f>
        <v>0</v>
      </c>
      <c r="W129" s="45">
        <f>IFERROR(IF(E129="","",(H129/P129)),0)</f>
        <v>0</v>
      </c>
      <c r="X129" s="94">
        <f>WEEKDAY(A129,1)</f>
        <v>5</v>
      </c>
      <c r="Y129" s="120">
        <f>MONTH(A129)</f>
        <v>7</v>
      </c>
      <c r="Z129" s="125">
        <f>WEEKNUM(A129)-WEEKNUM(DATE(YEAR(A129),MONTH(A129),1))+1</f>
        <v>2</v>
      </c>
      <c r="AA129" s="126">
        <f>IF(V129="",0,V129/8)</f>
        <v>0</v>
      </c>
      <c r="AB129" s="125">
        <f>IF(E129="02PZ03405",0,1)</f>
        <v>0</v>
      </c>
    </row>
    <row r="130" spans="1:28" x14ac:dyDescent="0.2">
      <c r="A130" s="148">
        <v>44746</v>
      </c>
      <c r="B130" s="96" t="s">
        <v>86</v>
      </c>
      <c r="C130" s="96" t="s">
        <v>90</v>
      </c>
      <c r="D130" s="38">
        <v>5</v>
      </c>
      <c r="E130" s="39" t="s">
        <v>248</v>
      </c>
      <c r="F130" s="95" t="str">
        <f>IF(E130="","",VLOOKUP(E130,'Base Datos'!$A$2:$M$150,2,FALSE))</f>
        <v>No funciona por Falta personal</v>
      </c>
      <c r="G130" s="99"/>
      <c r="H130" s="99"/>
      <c r="I130" s="99"/>
      <c r="J130" s="99"/>
      <c r="K130" s="39"/>
      <c r="L130" s="39"/>
      <c r="M130" s="97">
        <f>IF(E130="","",VLOOKUP(E130,'Base Datos'!$A$2:$M$150,3,FALSE))</f>
        <v>0</v>
      </c>
      <c r="N130" s="40">
        <f>IF(E130="","",VLOOKUP(E130,'Base Datos'!$A$2:$M$150,4,FALSE))</f>
        <v>0</v>
      </c>
      <c r="O130" s="40">
        <f>IF(E130="","",VLOOKUP(E130,'Base Datos'!$A$2:$M$150,5,FALSE))</f>
        <v>0</v>
      </c>
      <c r="P130" s="40">
        <f>IF(E130="","",VLOOKUP(E130,'Base Datos'!$A$2:$M$150,6,FALSE))</f>
        <v>0</v>
      </c>
      <c r="Q130" s="40">
        <f>IF(E130="","",VLOOKUP(E130,'Base Datos'!$A$2:$M$150,7,FALSE))</f>
        <v>0</v>
      </c>
      <c r="R130" s="40">
        <f>IF(E130="","",VLOOKUP(E130,'Base Datos'!$A$2:$M$150,8,FALSE))</f>
        <v>0</v>
      </c>
      <c r="S130" s="40">
        <f>IF(E130="","",VLOOKUP(E130,'Base Datos'!$A$2:$M$150,9,FALSE))</f>
        <v>0</v>
      </c>
      <c r="T130" s="97">
        <f>IF(E130="","",(H130*I130)-(J130+K130))</f>
        <v>0</v>
      </c>
      <c r="U130" s="98">
        <f>IF(E130="","",(H130*R130)/1000)</f>
        <v>0</v>
      </c>
      <c r="V130" s="123">
        <f>IF(G130="",0,(G130*H130)/3600)</f>
        <v>0</v>
      </c>
      <c r="W130" s="45">
        <f>IFERROR(IF(E130="","",(H130/P130)),0)</f>
        <v>0</v>
      </c>
      <c r="X130" s="94">
        <f>WEEKDAY(A130,1)</f>
        <v>2</v>
      </c>
      <c r="Y130" s="120">
        <f>MONTH(A130)</f>
        <v>7</v>
      </c>
      <c r="Z130" s="125">
        <f>WEEKNUM(A130)-WEEKNUM(DATE(YEAR(A130),MONTH(A130),1))+1</f>
        <v>2</v>
      </c>
      <c r="AA130" s="126">
        <f>IF(V130="",0,V130/8)</f>
        <v>0</v>
      </c>
      <c r="AB130" s="125">
        <f>IF(E130="02PZ03405",0,1)</f>
        <v>0</v>
      </c>
    </row>
    <row r="131" spans="1:28" x14ac:dyDescent="0.2">
      <c r="A131" s="148">
        <v>44746</v>
      </c>
      <c r="B131" s="96" t="s">
        <v>86</v>
      </c>
      <c r="C131" s="96" t="s">
        <v>90</v>
      </c>
      <c r="D131" s="38">
        <v>4</v>
      </c>
      <c r="E131" s="39" t="s">
        <v>248</v>
      </c>
      <c r="F131" s="95" t="str">
        <f>IF(E131="","",VLOOKUP(E131,'Base Datos'!$A$2:$M$150,2,FALSE))</f>
        <v>No funciona por Falta personal</v>
      </c>
      <c r="G131" s="99"/>
      <c r="H131" s="99"/>
      <c r="I131" s="99"/>
      <c r="J131" s="99"/>
      <c r="K131" s="39"/>
      <c r="L131" s="39"/>
      <c r="M131" s="97">
        <f>IF(E131="","",VLOOKUP(E131,'Base Datos'!$A$2:$M$150,3,FALSE))</f>
        <v>0</v>
      </c>
      <c r="N131" s="40">
        <f>IF(E131="","",VLOOKUP(E131,'Base Datos'!$A$2:$M$150,4,FALSE))</f>
        <v>0</v>
      </c>
      <c r="O131" s="40">
        <f>IF(E131="","",VLOOKUP(E131,'Base Datos'!$A$2:$M$150,5,FALSE))</f>
        <v>0</v>
      </c>
      <c r="P131" s="40">
        <f>IF(E131="","",VLOOKUP(E131,'Base Datos'!$A$2:$M$150,6,FALSE))</f>
        <v>0</v>
      </c>
      <c r="Q131" s="40">
        <f>IF(E131="","",VLOOKUP(E131,'Base Datos'!$A$2:$M$150,7,FALSE))</f>
        <v>0</v>
      </c>
      <c r="R131" s="40">
        <f>IF(E131="","",VLOOKUP(E131,'Base Datos'!$A$2:$M$150,8,FALSE))</f>
        <v>0</v>
      </c>
      <c r="S131" s="40">
        <f>IF(E131="","",VLOOKUP(E131,'Base Datos'!$A$2:$M$150,9,FALSE))</f>
        <v>0</v>
      </c>
      <c r="T131" s="97">
        <f>IF(E131="","",(H131*I131)-(J131+K131))</f>
        <v>0</v>
      </c>
      <c r="U131" s="98">
        <f>IF(E131="","",(H131*R131)/1000)</f>
        <v>0</v>
      </c>
      <c r="V131" s="123">
        <f>IF(G131="",0,(G131*H131)/3600)</f>
        <v>0</v>
      </c>
      <c r="W131" s="45">
        <f>IFERROR(IF(E131="","",(H131/P131)),0)</f>
        <v>0</v>
      </c>
      <c r="X131" s="94">
        <f>WEEKDAY(A131,1)</f>
        <v>2</v>
      </c>
      <c r="Y131" s="120">
        <f>MONTH(A131)</f>
        <v>7</v>
      </c>
      <c r="Z131" s="125">
        <f>WEEKNUM(A131)-WEEKNUM(DATE(YEAR(A131),MONTH(A131),1))+1</f>
        <v>2</v>
      </c>
      <c r="AA131" s="126">
        <f>IF(V131="",0,V131/8)</f>
        <v>0</v>
      </c>
      <c r="AB131" s="125">
        <f>IF(E131="02PZ03405",0,1)</f>
        <v>0</v>
      </c>
    </row>
    <row r="132" spans="1:28" x14ac:dyDescent="0.2">
      <c r="A132" s="148">
        <v>44746</v>
      </c>
      <c r="B132" s="96" t="s">
        <v>86</v>
      </c>
      <c r="C132" s="96" t="s">
        <v>90</v>
      </c>
      <c r="D132" s="38">
        <v>1</v>
      </c>
      <c r="E132" s="39" t="s">
        <v>248</v>
      </c>
      <c r="F132" s="95" t="str">
        <f>IF(E132="","",VLOOKUP(E132,'Base Datos'!$A$2:$M$150,2,FALSE))</f>
        <v>No funciona por Falta personal</v>
      </c>
      <c r="G132" s="99"/>
      <c r="H132" s="99"/>
      <c r="I132" s="99"/>
      <c r="J132" s="99"/>
      <c r="K132" s="39"/>
      <c r="L132" s="39"/>
      <c r="M132" s="97">
        <f>IF(E132="","",VLOOKUP(E132,'Base Datos'!$A$2:$M$150,3,FALSE))</f>
        <v>0</v>
      </c>
      <c r="N132" s="40">
        <f>IF(E132="","",VLOOKUP(E132,'Base Datos'!$A$2:$M$150,4,FALSE))</f>
        <v>0</v>
      </c>
      <c r="O132" s="40">
        <f>IF(E132="","",VLOOKUP(E132,'Base Datos'!$A$2:$M$150,5,FALSE))</f>
        <v>0</v>
      </c>
      <c r="P132" s="40">
        <f>IF(E132="","",VLOOKUP(E132,'Base Datos'!$A$2:$M$150,6,FALSE))</f>
        <v>0</v>
      </c>
      <c r="Q132" s="40">
        <f>IF(E132="","",VLOOKUP(E132,'Base Datos'!$A$2:$M$150,7,FALSE))</f>
        <v>0</v>
      </c>
      <c r="R132" s="40">
        <f>IF(E132="","",VLOOKUP(E132,'Base Datos'!$A$2:$M$150,8,FALSE))</f>
        <v>0</v>
      </c>
      <c r="S132" s="40">
        <f>IF(E132="","",VLOOKUP(E132,'Base Datos'!$A$2:$M$150,9,FALSE))</f>
        <v>0</v>
      </c>
      <c r="T132" s="97">
        <f>IF(E132="","",(H132*I132)-(J132+K132))</f>
        <v>0</v>
      </c>
      <c r="U132" s="98">
        <f>IF(E132="","",(H132*R132)/1000)</f>
        <v>0</v>
      </c>
      <c r="V132" s="123">
        <f>IF(G132="",0,(G132*H132)/3600)</f>
        <v>0</v>
      </c>
      <c r="W132" s="45">
        <f>IFERROR(IF(E132="","",(H132/P132)),0)</f>
        <v>0</v>
      </c>
      <c r="X132" s="94">
        <f>WEEKDAY(A132,1)</f>
        <v>2</v>
      </c>
      <c r="Y132" s="120">
        <f>MONTH(A132)</f>
        <v>7</v>
      </c>
      <c r="Z132" s="125">
        <f>WEEKNUM(A132)-WEEKNUM(DATE(YEAR(A132),MONTH(A132),1))+1</f>
        <v>2</v>
      </c>
      <c r="AA132" s="126">
        <f>IF(V132="",0,V132/8)</f>
        <v>0</v>
      </c>
      <c r="AB132" s="125">
        <f>IF(E132="02PZ03405",0,1)</f>
        <v>0</v>
      </c>
    </row>
    <row r="133" spans="1:28" x14ac:dyDescent="0.2">
      <c r="A133" s="37">
        <v>44767</v>
      </c>
      <c r="B133" s="31" t="s">
        <v>86</v>
      </c>
      <c r="C133" s="31" t="s">
        <v>88</v>
      </c>
      <c r="D133" s="38">
        <v>3</v>
      </c>
      <c r="E133" s="39" t="s">
        <v>248</v>
      </c>
      <c r="F133" s="33" t="str">
        <f>IF(E133="","",VLOOKUP(E133,'Base Datos'!$A$2:$M$150,2,FALSE))</f>
        <v>No funciona por Falta personal</v>
      </c>
      <c r="G133" s="99"/>
      <c r="H133" s="102"/>
      <c r="I133" s="32"/>
      <c r="J133" s="32"/>
      <c r="K133" s="31"/>
      <c r="L133" s="39"/>
      <c r="M133" s="33">
        <f>IF(E133="","",VLOOKUP(E133,'Base Datos'!$A$2:$M$150,3,FALSE))</f>
        <v>0</v>
      </c>
      <c r="N133" s="23">
        <f>IF(E133="","",VLOOKUP(E133,'Base Datos'!$A$2:$M$150,4,FALSE))</f>
        <v>0</v>
      </c>
      <c r="O133" s="23">
        <f>IF(E133="","",VLOOKUP(E133,'Base Datos'!$A$2:$M$150,5,FALSE))</f>
        <v>0</v>
      </c>
      <c r="P133" s="23">
        <f>IF(E133="","",VLOOKUP(E133,'Base Datos'!$A$2:$M$150,6,FALSE))</f>
        <v>0</v>
      </c>
      <c r="Q133" s="23">
        <f>IF(E133="","",VLOOKUP(E133,'Base Datos'!$A$2:$M$150,7,FALSE))</f>
        <v>0</v>
      </c>
      <c r="R133" s="40">
        <f>IF(E133="","",VLOOKUP(E133,'Base Datos'!$A$2:$M$150,8,FALSE))</f>
        <v>0</v>
      </c>
      <c r="S133" s="40">
        <f>IF(E133="","",VLOOKUP(E133,'Base Datos'!$A$2:$M$150,9,FALSE))</f>
        <v>0</v>
      </c>
      <c r="T133" s="33">
        <f>IF(E133="","",(H133*I133)-(J133+K133))</f>
        <v>0</v>
      </c>
      <c r="U133" s="33">
        <f>IF(E133="","",(I133*R133)/1000)</f>
        <v>0</v>
      </c>
      <c r="V133" s="123">
        <f>IF(G133="",0,(G133*H133)/3600)</f>
        <v>0</v>
      </c>
      <c r="W133" s="45">
        <f>IFERROR(IF(E133="","",(H133/P133)),0)</f>
        <v>0</v>
      </c>
      <c r="X133" s="94">
        <f>WEEKDAY(A133,1)</f>
        <v>2</v>
      </c>
      <c r="Y133" s="120">
        <f>MONTH(A133)</f>
        <v>7</v>
      </c>
      <c r="Z133" s="125">
        <f>WEEKNUM(A133)-WEEKNUM(DATE(YEAR(A133),MONTH(A133),1))+1</f>
        <v>5</v>
      </c>
      <c r="AA133" s="126">
        <f>IF(V133="",0,V133/8)</f>
        <v>0</v>
      </c>
      <c r="AB133" s="125">
        <f>IF(E133="02PZ03405",0,1)</f>
        <v>0</v>
      </c>
    </row>
    <row r="134" spans="1:28" x14ac:dyDescent="0.2">
      <c r="A134" s="37">
        <v>44764</v>
      </c>
      <c r="B134" s="31" t="s">
        <v>86</v>
      </c>
      <c r="C134" s="31" t="s">
        <v>91</v>
      </c>
      <c r="D134" s="38">
        <v>1</v>
      </c>
      <c r="E134" s="39" t="s">
        <v>248</v>
      </c>
      <c r="F134" s="33" t="str">
        <f>IF(E134="","",VLOOKUP(E134,'Base Datos'!$A$2:$M$150,2,FALSE))</f>
        <v>No funciona por Falta personal</v>
      </c>
      <c r="G134" s="99"/>
      <c r="H134" s="102"/>
      <c r="I134" s="32"/>
      <c r="J134" s="32"/>
      <c r="K134" s="31"/>
      <c r="L134" s="39"/>
      <c r="M134" s="33">
        <f>IF(E134="","",VLOOKUP(E134,'Base Datos'!$A$2:$M$150,3,FALSE))</f>
        <v>0</v>
      </c>
      <c r="N134" s="23">
        <f>IF(E134="","",VLOOKUP(E134,'Base Datos'!$A$2:$M$150,4,FALSE))</f>
        <v>0</v>
      </c>
      <c r="O134" s="23">
        <f>IF(E134="","",VLOOKUP(E134,'Base Datos'!$A$2:$M$150,5,FALSE))</f>
        <v>0</v>
      </c>
      <c r="P134" s="23">
        <f>IF(E134="","",VLOOKUP(E134,'Base Datos'!$A$2:$M$150,6,FALSE))</f>
        <v>0</v>
      </c>
      <c r="Q134" s="23">
        <f>IF(E134="","",VLOOKUP(E134,'Base Datos'!$A$2:$M$150,7,FALSE))</f>
        <v>0</v>
      </c>
      <c r="R134" s="40">
        <f>IF(E134="","",VLOOKUP(E134,'Base Datos'!$A$2:$M$150,8,FALSE))</f>
        <v>0</v>
      </c>
      <c r="S134" s="40">
        <f>IF(E134="","",VLOOKUP(E134,'Base Datos'!$A$2:$M$150,9,FALSE))</f>
        <v>0</v>
      </c>
      <c r="T134" s="33">
        <f>IF(E134="","",(H134*I134)-(J134+K134))</f>
        <v>0</v>
      </c>
      <c r="U134" s="33">
        <f>IF(E134="","",(I134*R134)/1000)</f>
        <v>0</v>
      </c>
      <c r="V134" s="123">
        <f>IF(G134="",0,(G134*H134)/3600)</f>
        <v>0</v>
      </c>
      <c r="W134" s="45">
        <f>IFERROR(IF(E134="","",(H134/P134)),0)</f>
        <v>0</v>
      </c>
      <c r="X134" s="94">
        <f>WEEKDAY(A134,1)</f>
        <v>6</v>
      </c>
      <c r="Y134" s="120">
        <f>MONTH(A134)</f>
        <v>7</v>
      </c>
      <c r="Z134" s="125">
        <f>WEEKNUM(A134)-WEEKNUM(DATE(YEAR(A134),MONTH(A134),1))+1</f>
        <v>4</v>
      </c>
      <c r="AA134" s="126">
        <f>IF(V134="",0,V134/8)</f>
        <v>0</v>
      </c>
      <c r="AB134" s="125">
        <f>IF(E134="02PZ03405",0,1)</f>
        <v>0</v>
      </c>
    </row>
    <row r="135" spans="1:28" x14ac:dyDescent="0.2">
      <c r="A135" s="37">
        <v>44754</v>
      </c>
      <c r="B135" s="31" t="s">
        <v>86</v>
      </c>
      <c r="C135" s="31" t="s">
        <v>90</v>
      </c>
      <c r="D135" s="38">
        <v>5</v>
      </c>
      <c r="E135" s="39" t="s">
        <v>243</v>
      </c>
      <c r="F135" s="33" t="str">
        <f>IF(E135="","",VLOOKUP(E135,'Base Datos'!$A$2:$M$150,2,FALSE))</f>
        <v>No funciona p/cambio molde</v>
      </c>
      <c r="G135" s="32">
        <v>0</v>
      </c>
      <c r="H135" s="102">
        <v>0</v>
      </c>
      <c r="I135" s="32">
        <v>0</v>
      </c>
      <c r="J135" s="32">
        <v>0</v>
      </c>
      <c r="K135" s="31">
        <v>0</v>
      </c>
      <c r="L135" s="39">
        <v>0</v>
      </c>
      <c r="M135" s="33">
        <f>IF(E135="","",VLOOKUP(E135,'Base Datos'!$A$2:$M$150,3,FALSE))</f>
        <v>0</v>
      </c>
      <c r="N135" s="23">
        <f>IF(E135="","",VLOOKUP(E135,'Base Datos'!$A$2:$M$150,4,FALSE))</f>
        <v>0</v>
      </c>
      <c r="O135" s="23">
        <f>IF(E135="","",VLOOKUP(E135,'Base Datos'!$A$2:$M$150,5,FALSE))</f>
        <v>0</v>
      </c>
      <c r="P135" s="23">
        <f>IF(E135="","",VLOOKUP(E135,'Base Datos'!$A$2:$M$150,6,FALSE))</f>
        <v>0</v>
      </c>
      <c r="Q135" s="23">
        <f>IF(E135="","",VLOOKUP(E135,'Base Datos'!$A$2:$M$150,7,FALSE))</f>
        <v>0</v>
      </c>
      <c r="R135" s="40">
        <f>IF(E135="","",VLOOKUP(E135,'Base Datos'!$A$2:$M$150,8,FALSE))</f>
        <v>0</v>
      </c>
      <c r="S135" s="40">
        <f>IF(E135="","",VLOOKUP(E135,'Base Datos'!$A$2:$M$150,9,FALSE))</f>
        <v>0</v>
      </c>
      <c r="T135" s="33">
        <f>IF(E135="","",(H135*I135)-(J135+K135))</f>
        <v>0</v>
      </c>
      <c r="U135" s="33">
        <f>IF(E135="","",(I135*R135)/1000)</f>
        <v>0</v>
      </c>
      <c r="V135" s="123">
        <f>IF(G135="",0,(G135*H135)/3600)</f>
        <v>0</v>
      </c>
      <c r="W135" s="45">
        <f>IFERROR(IF(E135="","",(H135/P135)),0)</f>
        <v>0</v>
      </c>
      <c r="X135" s="94">
        <f>WEEKDAY(A135,1)</f>
        <v>3</v>
      </c>
      <c r="Y135" s="120">
        <f>MONTH(A135)</f>
        <v>7</v>
      </c>
      <c r="Z135" s="125">
        <f>WEEKNUM(A135)-WEEKNUM(DATE(YEAR(A135),MONTH(A135),1))+1</f>
        <v>3</v>
      </c>
      <c r="AA135" s="126">
        <f>IF(V135="",0,V135/8)</f>
        <v>0</v>
      </c>
      <c r="AB135" s="125">
        <f>IF(E135="02PZ03405",0,1)</f>
        <v>1</v>
      </c>
    </row>
    <row r="136" spans="1:28" x14ac:dyDescent="0.2">
      <c r="A136" s="37">
        <v>44768</v>
      </c>
      <c r="B136" s="31" t="s">
        <v>34</v>
      </c>
      <c r="C136" s="31" t="s">
        <v>110</v>
      </c>
      <c r="D136" s="38">
        <v>3</v>
      </c>
      <c r="E136" s="39" t="s">
        <v>243</v>
      </c>
      <c r="F136" s="33" t="str">
        <f>IF(E136="","",VLOOKUP(E136,'Base Datos'!$A$2:$M$150,2,FALSE))</f>
        <v>No funciona p/cambio molde</v>
      </c>
      <c r="G136" s="99"/>
      <c r="H136" s="102"/>
      <c r="I136" s="32"/>
      <c r="J136" s="32"/>
      <c r="K136" s="31"/>
      <c r="L136" s="39"/>
      <c r="M136" s="33">
        <f>IF(E136="","",VLOOKUP(E136,'Base Datos'!$A$2:$M$150,3,FALSE))</f>
        <v>0</v>
      </c>
      <c r="N136" s="23">
        <f>IF(E136="","",VLOOKUP(E136,'Base Datos'!$A$2:$M$150,4,FALSE))</f>
        <v>0</v>
      </c>
      <c r="O136" s="23">
        <f>IF(E136="","",VLOOKUP(E136,'Base Datos'!$A$2:$M$150,5,FALSE))</f>
        <v>0</v>
      </c>
      <c r="P136" s="23">
        <f>IF(E136="","",VLOOKUP(E136,'Base Datos'!$A$2:$M$150,6,FALSE))</f>
        <v>0</v>
      </c>
      <c r="Q136" s="23">
        <f>IF(E136="","",VLOOKUP(E136,'Base Datos'!$A$2:$M$150,7,FALSE))</f>
        <v>0</v>
      </c>
      <c r="R136" s="40">
        <f>IF(E136="","",VLOOKUP(E136,'Base Datos'!$A$2:$M$150,8,FALSE))</f>
        <v>0</v>
      </c>
      <c r="S136" s="40">
        <f>IF(E136="","",VLOOKUP(E136,'Base Datos'!$A$2:$M$150,9,FALSE))</f>
        <v>0</v>
      </c>
      <c r="T136" s="33">
        <f>IF(E136="","",(H136*I136)-(J136+K136))</f>
        <v>0</v>
      </c>
      <c r="U136" s="33">
        <f>IF(E136="","",(I136*R136)/1000)</f>
        <v>0</v>
      </c>
      <c r="V136" s="123">
        <f>IF(G136="",0,(G136*H136)/3600)</f>
        <v>0</v>
      </c>
      <c r="W136" s="45">
        <f>IFERROR(IF(E136="","",(H136/P136)),0)</f>
        <v>0</v>
      </c>
      <c r="X136" s="94">
        <f>WEEKDAY(A136,1)</f>
        <v>3</v>
      </c>
      <c r="Y136" s="120">
        <f>MONTH(A136)</f>
        <v>7</v>
      </c>
      <c r="Z136" s="125">
        <f>WEEKNUM(A136)-WEEKNUM(DATE(YEAR(A136),MONTH(A136),1))+1</f>
        <v>5</v>
      </c>
      <c r="AA136" s="126">
        <f>IF(V136="",0,V136/8)</f>
        <v>0</v>
      </c>
      <c r="AB136" s="125">
        <f>IF(E136="02PZ03405",0,1)</f>
        <v>1</v>
      </c>
    </row>
    <row r="137" spans="1:28" x14ac:dyDescent="0.2">
      <c r="A137" s="37">
        <v>44764</v>
      </c>
      <c r="B137" s="31" t="s">
        <v>86</v>
      </c>
      <c r="C137" s="31" t="s">
        <v>91</v>
      </c>
      <c r="D137" s="38">
        <v>3</v>
      </c>
      <c r="E137" s="39" t="s">
        <v>244</v>
      </c>
      <c r="F137" s="33" t="str">
        <f>IF(E137="","",VLOOKUP(E137,'Base Datos'!$A$2:$M$150,2,FALSE))</f>
        <v>No funciona p/ajuste de molde</v>
      </c>
      <c r="G137" s="99"/>
      <c r="H137" s="102"/>
      <c r="I137" s="32"/>
      <c r="J137" s="32"/>
      <c r="K137" s="31"/>
      <c r="L137" s="39"/>
      <c r="M137" s="33">
        <f>IF(E137="","",VLOOKUP(E137,'Base Datos'!$A$2:$M$150,3,FALSE))</f>
        <v>0</v>
      </c>
      <c r="N137" s="23">
        <f>IF(E137="","",VLOOKUP(E137,'Base Datos'!$A$2:$M$150,4,FALSE))</f>
        <v>0</v>
      </c>
      <c r="O137" s="23">
        <f>IF(E137="","",VLOOKUP(E137,'Base Datos'!$A$2:$M$150,5,FALSE))</f>
        <v>0</v>
      </c>
      <c r="P137" s="23">
        <f>IF(E137="","",VLOOKUP(E137,'Base Datos'!$A$2:$M$150,6,FALSE))</f>
        <v>0</v>
      </c>
      <c r="Q137" s="23">
        <f>IF(E137="","",VLOOKUP(E137,'Base Datos'!$A$2:$M$150,7,FALSE))</f>
        <v>0</v>
      </c>
      <c r="R137" s="40">
        <f>IF(E137="","",VLOOKUP(E137,'Base Datos'!$A$2:$M$150,8,FALSE))</f>
        <v>0</v>
      </c>
      <c r="S137" s="40">
        <f>IF(E137="","",VLOOKUP(E137,'Base Datos'!$A$2:$M$150,9,FALSE))</f>
        <v>0</v>
      </c>
      <c r="T137" s="33">
        <f>IF(E137="","",(H137*I137)-(J137+K137))</f>
        <v>0</v>
      </c>
      <c r="U137" s="33">
        <f>IF(E137="","",(I137*R137)/1000)</f>
        <v>0</v>
      </c>
      <c r="V137" s="123">
        <f>IF(G137="",0,(G137*H137)/3600)</f>
        <v>0</v>
      </c>
      <c r="W137" s="45">
        <f>IFERROR(IF(E137="","",(H137/P137)),0)</f>
        <v>0</v>
      </c>
      <c r="X137" s="94">
        <f>WEEKDAY(A137,1)</f>
        <v>6</v>
      </c>
      <c r="Y137" s="120">
        <f>MONTH(A137)</f>
        <v>7</v>
      </c>
      <c r="Z137" s="125">
        <f>WEEKNUM(A137)-WEEKNUM(DATE(YEAR(A137),MONTH(A137),1))+1</f>
        <v>4</v>
      </c>
      <c r="AA137" s="126">
        <f>IF(V137="",0,V137/8)</f>
        <v>0</v>
      </c>
      <c r="AB137" s="125">
        <f>IF(E137="02PZ03405",0,1)</f>
        <v>1</v>
      </c>
    </row>
    <row r="138" spans="1:28" x14ac:dyDescent="0.2">
      <c r="A138" s="37">
        <v>44767</v>
      </c>
      <c r="B138" s="31" t="s">
        <v>34</v>
      </c>
      <c r="C138" s="31" t="s">
        <v>35</v>
      </c>
      <c r="D138" s="38">
        <v>3</v>
      </c>
      <c r="E138" s="39" t="s">
        <v>245</v>
      </c>
      <c r="F138" s="33" t="str">
        <f>IF(E138="","",VLOOKUP(E138,'Base Datos'!$A$2:$M$150,2,FALSE))</f>
        <v>No funciona p/ problema de molde</v>
      </c>
      <c r="G138" s="99"/>
      <c r="H138" s="102"/>
      <c r="I138" s="32"/>
      <c r="J138" s="32"/>
      <c r="K138" s="31"/>
      <c r="L138" s="39"/>
      <c r="M138" s="33">
        <f>IF(E138="","",VLOOKUP(E138,'Base Datos'!$A$2:$M$150,3,FALSE))</f>
        <v>0</v>
      </c>
      <c r="N138" s="23">
        <f>IF(E138="","",VLOOKUP(E138,'Base Datos'!$A$2:$M$150,4,FALSE))</f>
        <v>0</v>
      </c>
      <c r="O138" s="23">
        <f>IF(E138="","",VLOOKUP(E138,'Base Datos'!$A$2:$M$150,5,FALSE))</f>
        <v>0</v>
      </c>
      <c r="P138" s="23">
        <f>IF(E138="","",VLOOKUP(E138,'Base Datos'!$A$2:$M$150,6,FALSE))</f>
        <v>0</v>
      </c>
      <c r="Q138" s="23">
        <f>IF(E138="","",VLOOKUP(E138,'Base Datos'!$A$2:$M$150,7,FALSE))</f>
        <v>0</v>
      </c>
      <c r="R138" s="40">
        <f>IF(E138="","",VLOOKUP(E138,'Base Datos'!$A$2:$M$150,8,FALSE))</f>
        <v>0</v>
      </c>
      <c r="S138" s="40">
        <f>IF(E138="","",VLOOKUP(E138,'Base Datos'!$A$2:$M$150,9,FALSE))</f>
        <v>0</v>
      </c>
      <c r="T138" s="33">
        <f>IF(E138="","",(H138*I138)-(J138+K138))</f>
        <v>0</v>
      </c>
      <c r="U138" s="33">
        <f>IF(E138="","",(I138*R138)/1000)</f>
        <v>0</v>
      </c>
      <c r="V138" s="123">
        <f>IF(G138="",0,(G138*H138)/3600)</f>
        <v>0</v>
      </c>
      <c r="W138" s="45">
        <f>IFERROR(IF(E138="","",(H138/P138)),0)</f>
        <v>0</v>
      </c>
      <c r="X138" s="94">
        <f>WEEKDAY(A138,1)</f>
        <v>2</v>
      </c>
      <c r="Y138" s="120">
        <f>MONTH(A138)</f>
        <v>7</v>
      </c>
      <c r="Z138" s="125">
        <f>WEEKNUM(A138)-WEEKNUM(DATE(YEAR(A138),MONTH(A138),1))+1</f>
        <v>5</v>
      </c>
      <c r="AA138" s="126">
        <f>IF(V138="",0,V138/8)</f>
        <v>0</v>
      </c>
      <c r="AB138" s="125">
        <f>IF(E138="02PZ03405",0,1)</f>
        <v>1</v>
      </c>
    </row>
    <row r="139" spans="1:28" x14ac:dyDescent="0.2">
      <c r="A139" s="37">
        <v>44763</v>
      </c>
      <c r="B139" s="31" t="s">
        <v>34</v>
      </c>
      <c r="C139" s="31" t="s">
        <v>35</v>
      </c>
      <c r="D139" s="38">
        <v>4</v>
      </c>
      <c r="E139" s="39" t="s">
        <v>245</v>
      </c>
      <c r="F139" s="33" t="str">
        <f>IF(E139="","",VLOOKUP(E139,'Base Datos'!$A$2:$M$150,2,FALSE))</f>
        <v>No funciona p/ problema de molde</v>
      </c>
      <c r="G139" s="99">
        <v>0</v>
      </c>
      <c r="H139" s="102">
        <v>0</v>
      </c>
      <c r="I139" s="32">
        <v>0</v>
      </c>
      <c r="J139" s="32"/>
      <c r="K139" s="31"/>
      <c r="L139" s="39">
        <v>0</v>
      </c>
      <c r="M139" s="33">
        <f>IF(E139="","",VLOOKUP(E139,'Base Datos'!$A$2:$M$150,3,FALSE))</f>
        <v>0</v>
      </c>
      <c r="N139" s="23">
        <f>IF(E139="","",VLOOKUP(E139,'Base Datos'!$A$2:$M$150,4,FALSE))</f>
        <v>0</v>
      </c>
      <c r="O139" s="23">
        <f>IF(E139="","",VLOOKUP(E139,'Base Datos'!$A$2:$M$150,5,FALSE))</f>
        <v>0</v>
      </c>
      <c r="P139" s="23">
        <f>IF(E139="","",VLOOKUP(E139,'Base Datos'!$A$2:$M$150,6,FALSE))</f>
        <v>0</v>
      </c>
      <c r="Q139" s="23">
        <f>IF(E139="","",VLOOKUP(E139,'Base Datos'!$A$2:$M$150,7,FALSE))</f>
        <v>0</v>
      </c>
      <c r="R139" s="40">
        <f>IF(E139="","",VLOOKUP(E139,'Base Datos'!$A$2:$M$150,8,FALSE))</f>
        <v>0</v>
      </c>
      <c r="S139" s="40">
        <f>IF(E139="","",VLOOKUP(E139,'Base Datos'!$A$2:$M$150,9,FALSE))</f>
        <v>0</v>
      </c>
      <c r="T139" s="33">
        <f>IF(E139="","",(H139*I139)-(J139+K139))</f>
        <v>0</v>
      </c>
      <c r="U139" s="33">
        <f>IF(E139="","",(I139*R139)/1000)</f>
        <v>0</v>
      </c>
      <c r="V139" s="123">
        <f>IF(G139="",0,(G139*H139)/3600)</f>
        <v>0</v>
      </c>
      <c r="W139" s="45">
        <f>IFERROR(IF(E139="","",(H139/P139)),0)</f>
        <v>0</v>
      </c>
      <c r="X139" s="94">
        <f>WEEKDAY(A139,1)</f>
        <v>5</v>
      </c>
      <c r="Y139" s="120">
        <f>MONTH(A139)</f>
        <v>7</v>
      </c>
      <c r="Z139" s="125">
        <f>WEEKNUM(A139)-WEEKNUM(DATE(YEAR(A139),MONTH(A139),1))+1</f>
        <v>4</v>
      </c>
      <c r="AA139" s="126">
        <f>IF(V139="",0,V139/8)</f>
        <v>0</v>
      </c>
      <c r="AB139" s="125">
        <f>IF(E139="02PZ03405",0,1)</f>
        <v>1</v>
      </c>
    </row>
    <row r="140" spans="1:28" x14ac:dyDescent="0.2">
      <c r="A140" s="37">
        <v>44750</v>
      </c>
      <c r="B140" s="31" t="s">
        <v>86</v>
      </c>
      <c r="C140" s="31" t="s">
        <v>91</v>
      </c>
      <c r="D140" s="38">
        <v>2</v>
      </c>
      <c r="E140" s="39" t="s">
        <v>245</v>
      </c>
      <c r="F140" s="33" t="str">
        <f>IF(E140="","",VLOOKUP(E140,'Base Datos'!$A$2:$M$150,2,FALSE))</f>
        <v>No funciona p/ problema de molde</v>
      </c>
      <c r="G140" s="32"/>
      <c r="H140" s="102"/>
      <c r="I140" s="32"/>
      <c r="J140" s="32"/>
      <c r="K140" s="31"/>
      <c r="L140" s="39"/>
      <c r="M140" s="33">
        <f>IF(E140="","",VLOOKUP(E140,'Base Datos'!$A$2:$M$150,3,FALSE))</f>
        <v>0</v>
      </c>
      <c r="N140" s="23">
        <f>IF(E140="","",VLOOKUP(E140,'Base Datos'!$A$2:$M$150,4,FALSE))</f>
        <v>0</v>
      </c>
      <c r="O140" s="23">
        <f>IF(E140="","",VLOOKUP(E140,'Base Datos'!$A$2:$M$150,5,FALSE))</f>
        <v>0</v>
      </c>
      <c r="P140" s="23">
        <f>IF(E140="","",VLOOKUP(E140,'Base Datos'!$A$2:$M$150,6,FALSE))</f>
        <v>0</v>
      </c>
      <c r="Q140" s="23">
        <f>IF(E140="","",VLOOKUP(E140,'Base Datos'!$A$2:$M$150,7,FALSE))</f>
        <v>0</v>
      </c>
      <c r="R140" s="40">
        <f>IF(E140="","",VLOOKUP(E140,'Base Datos'!$A$2:$M$150,8,FALSE))</f>
        <v>0</v>
      </c>
      <c r="S140" s="40">
        <f>IF(E140="","",VLOOKUP(E140,'Base Datos'!$A$2:$M$150,9,FALSE))</f>
        <v>0</v>
      </c>
      <c r="T140" s="33">
        <f>IF(E140="","",(H140*I140)-(J140+K140))</f>
        <v>0</v>
      </c>
      <c r="U140" s="33">
        <f>IF(E140="","",(I140*R140)/1000)</f>
        <v>0</v>
      </c>
      <c r="V140" s="123">
        <f>IF(G140="",0,(G140*H140)/3600)</f>
        <v>0</v>
      </c>
      <c r="W140" s="45">
        <f>IFERROR(IF(E140="","",(H140/P140)),0)</f>
        <v>0</v>
      </c>
      <c r="X140" s="94">
        <f>WEEKDAY(A140,1)</f>
        <v>6</v>
      </c>
      <c r="Y140" s="120">
        <f>MONTH(A140)</f>
        <v>7</v>
      </c>
      <c r="Z140" s="125">
        <f>WEEKNUM(A140)-WEEKNUM(DATE(YEAR(A140),MONTH(A140),1))+1</f>
        <v>2</v>
      </c>
      <c r="AA140" s="126">
        <f>IF(V140="",0,V140/8)</f>
        <v>0</v>
      </c>
      <c r="AB140" s="125">
        <f>IF(E140="02PZ03405",0,1)</f>
        <v>1</v>
      </c>
    </row>
    <row r="141" spans="1:28" x14ac:dyDescent="0.2">
      <c r="A141" s="37">
        <v>44763</v>
      </c>
      <c r="B141" s="31" t="s">
        <v>86</v>
      </c>
      <c r="C141" s="31" t="s">
        <v>90</v>
      </c>
      <c r="D141" s="38">
        <v>2</v>
      </c>
      <c r="E141" s="39" t="s">
        <v>245</v>
      </c>
      <c r="F141" s="33" t="str">
        <f>IF(E141="","",VLOOKUP(E141,'Base Datos'!$A$2:$M$150,2,FALSE))</f>
        <v>No funciona p/ problema de molde</v>
      </c>
      <c r="G141" s="99"/>
      <c r="H141" s="102"/>
      <c r="I141" s="32"/>
      <c r="J141" s="32"/>
      <c r="K141" s="31"/>
      <c r="L141" s="39"/>
      <c r="M141" s="33">
        <f>IF(E141="","",VLOOKUP(E141,'Base Datos'!$A$2:$M$150,3,FALSE))</f>
        <v>0</v>
      </c>
      <c r="N141" s="23">
        <f>IF(E141="","",VLOOKUP(E141,'Base Datos'!$A$2:$M$150,4,FALSE))</f>
        <v>0</v>
      </c>
      <c r="O141" s="23">
        <f>IF(E141="","",VLOOKUP(E141,'Base Datos'!$A$2:$M$150,5,FALSE))</f>
        <v>0</v>
      </c>
      <c r="P141" s="23">
        <f>IF(E141="","",VLOOKUP(E141,'Base Datos'!$A$2:$M$150,6,FALSE))</f>
        <v>0</v>
      </c>
      <c r="Q141" s="23">
        <f>IF(E141="","",VLOOKUP(E141,'Base Datos'!$A$2:$M$150,7,FALSE))</f>
        <v>0</v>
      </c>
      <c r="R141" s="40">
        <f>IF(E141="","",VLOOKUP(E141,'Base Datos'!$A$2:$M$150,8,FALSE))</f>
        <v>0</v>
      </c>
      <c r="S141" s="40">
        <f>IF(E141="","",VLOOKUP(E141,'Base Datos'!$A$2:$M$150,9,FALSE))</f>
        <v>0</v>
      </c>
      <c r="T141" s="33">
        <f>IF(E141="","",(H141*I141)-(J141+K141))</f>
        <v>0</v>
      </c>
      <c r="U141" s="33">
        <f>IF(E141="","",(I141*R141)/1000)</f>
        <v>0</v>
      </c>
      <c r="V141" s="123">
        <f>IF(G141="",0,(G141*H141)/3600)</f>
        <v>0</v>
      </c>
      <c r="W141" s="45">
        <f>IFERROR(IF(E141="","",(H141/P141)),0)</f>
        <v>0</v>
      </c>
      <c r="X141" s="94">
        <f>WEEKDAY(A141,1)</f>
        <v>5</v>
      </c>
      <c r="Y141" s="120">
        <f>MONTH(A141)</f>
        <v>7</v>
      </c>
      <c r="Z141" s="125">
        <f>WEEKNUM(A141)-WEEKNUM(DATE(YEAR(A141),MONTH(A141),1))+1</f>
        <v>4</v>
      </c>
      <c r="AA141" s="126">
        <f>IF(V141="",0,V141/8)</f>
        <v>0</v>
      </c>
      <c r="AB141" s="125">
        <f>IF(E141="02PZ03405",0,1)</f>
        <v>1</v>
      </c>
    </row>
    <row r="142" spans="1:28" x14ac:dyDescent="0.2">
      <c r="A142" s="37">
        <v>44767</v>
      </c>
      <c r="B142" s="31" t="s">
        <v>87</v>
      </c>
      <c r="C142" s="31" t="s">
        <v>93</v>
      </c>
      <c r="D142" s="38">
        <v>3</v>
      </c>
      <c r="E142" s="39" t="s">
        <v>245</v>
      </c>
      <c r="F142" s="33" t="str">
        <f>IF(E142="","",VLOOKUP(E142,'Base Datos'!$A$2:$M$150,2,FALSE))</f>
        <v>No funciona p/ problema de molde</v>
      </c>
      <c r="G142" s="99">
        <v>0</v>
      </c>
      <c r="H142" s="102">
        <v>0</v>
      </c>
      <c r="I142" s="32">
        <v>0</v>
      </c>
      <c r="J142" s="32">
        <v>0</v>
      </c>
      <c r="K142" s="31">
        <v>0</v>
      </c>
      <c r="L142" s="39">
        <v>0</v>
      </c>
      <c r="M142" s="33">
        <f>IF(E142="","",VLOOKUP(E142,'Base Datos'!$A$2:$M$150,3,FALSE))</f>
        <v>0</v>
      </c>
      <c r="N142" s="23">
        <f>IF(E142="","",VLOOKUP(E142,'Base Datos'!$A$2:$M$150,4,FALSE))</f>
        <v>0</v>
      </c>
      <c r="O142" s="23">
        <f>IF(E142="","",VLOOKUP(E142,'Base Datos'!$A$2:$M$150,5,FALSE))</f>
        <v>0</v>
      </c>
      <c r="P142" s="23">
        <f>IF(E142="","",VLOOKUP(E142,'Base Datos'!$A$2:$M$150,6,FALSE))</f>
        <v>0</v>
      </c>
      <c r="Q142" s="23">
        <f>IF(E142="","",VLOOKUP(E142,'Base Datos'!$A$2:$M$150,7,FALSE))</f>
        <v>0</v>
      </c>
      <c r="R142" s="40">
        <f>IF(E142="","",VLOOKUP(E142,'Base Datos'!$A$2:$M$150,8,FALSE))</f>
        <v>0</v>
      </c>
      <c r="S142" s="40">
        <f>IF(E142="","",VLOOKUP(E142,'Base Datos'!$A$2:$M$150,9,FALSE))</f>
        <v>0</v>
      </c>
      <c r="T142" s="33">
        <f>IF(E142="","",(H142*I142)-(J142+K142))</f>
        <v>0</v>
      </c>
      <c r="U142" s="33">
        <f>IF(E142="","",(I142*R142)/1000)</f>
        <v>0</v>
      </c>
      <c r="V142" s="123">
        <f>IF(G142="",0,(G142*H142)/3600)</f>
        <v>0</v>
      </c>
      <c r="W142" s="45">
        <f>IFERROR(IF(E142="","",(H142/P142)),0)</f>
        <v>0</v>
      </c>
      <c r="X142" s="94">
        <f>WEEKDAY(A142,1)</f>
        <v>2</v>
      </c>
      <c r="Y142" s="120">
        <f>MONTH(A142)</f>
        <v>7</v>
      </c>
      <c r="Z142" s="125">
        <f>WEEKNUM(A142)-WEEKNUM(DATE(YEAR(A142),MONTH(A142),1))+1</f>
        <v>5</v>
      </c>
      <c r="AA142" s="126">
        <f>IF(V142="",0,V142/8)</f>
        <v>0</v>
      </c>
      <c r="AB142" s="125">
        <f>IF(E142="02PZ03405",0,1)</f>
        <v>1</v>
      </c>
    </row>
    <row r="143" spans="1:28" x14ac:dyDescent="0.2">
      <c r="A143" s="37">
        <v>44764</v>
      </c>
      <c r="B143" s="31" t="s">
        <v>87</v>
      </c>
      <c r="C143" s="31" t="s">
        <v>93</v>
      </c>
      <c r="D143" s="38">
        <v>3</v>
      </c>
      <c r="E143" s="39" t="s">
        <v>245</v>
      </c>
      <c r="F143" s="33" t="str">
        <f>IF(E143="","",VLOOKUP(E143,'Base Datos'!$A$2:$M$150,2,FALSE))</f>
        <v>No funciona p/ problema de molde</v>
      </c>
      <c r="G143" s="99">
        <v>0</v>
      </c>
      <c r="H143" s="102">
        <v>0</v>
      </c>
      <c r="I143" s="32">
        <v>0</v>
      </c>
      <c r="J143" s="32"/>
      <c r="K143" s="31">
        <v>0</v>
      </c>
      <c r="L143" s="39">
        <v>0</v>
      </c>
      <c r="M143" s="33">
        <f>IF(E143="","",VLOOKUP(E143,'Base Datos'!$A$2:$M$150,3,FALSE))</f>
        <v>0</v>
      </c>
      <c r="N143" s="23">
        <f>IF(E143="","",VLOOKUP(E143,'Base Datos'!$A$2:$M$150,4,FALSE))</f>
        <v>0</v>
      </c>
      <c r="O143" s="23">
        <f>IF(E143="","",VLOOKUP(E143,'Base Datos'!$A$2:$M$150,5,FALSE))</f>
        <v>0</v>
      </c>
      <c r="P143" s="23">
        <f>IF(E143="","",VLOOKUP(E143,'Base Datos'!$A$2:$M$150,6,FALSE))</f>
        <v>0</v>
      </c>
      <c r="Q143" s="23">
        <f>IF(E143="","",VLOOKUP(E143,'Base Datos'!$A$2:$M$150,7,FALSE))</f>
        <v>0</v>
      </c>
      <c r="R143" s="40">
        <f>IF(E143="","",VLOOKUP(E143,'Base Datos'!$A$2:$M$150,8,FALSE))</f>
        <v>0</v>
      </c>
      <c r="S143" s="40">
        <f>IF(E143="","",VLOOKUP(E143,'Base Datos'!$A$2:$M$150,9,FALSE))</f>
        <v>0</v>
      </c>
      <c r="T143" s="33">
        <f>IF(E143="","",(H143*I143)-(J143+K143))</f>
        <v>0</v>
      </c>
      <c r="U143" s="33">
        <f>IF(E143="","",(I143*R143)/1000)</f>
        <v>0</v>
      </c>
      <c r="V143" s="123">
        <f>IF(G143="",0,(G143*H143)/3600)</f>
        <v>0</v>
      </c>
      <c r="W143" s="45">
        <f>IFERROR(IF(E143="","",(H143/P143)),0)</f>
        <v>0</v>
      </c>
      <c r="X143" s="94">
        <f>WEEKDAY(A143,1)</f>
        <v>6</v>
      </c>
      <c r="Y143" s="120">
        <f>MONTH(A143)</f>
        <v>7</v>
      </c>
      <c r="Z143" s="125">
        <f>WEEKNUM(A143)-WEEKNUM(DATE(YEAR(A143),MONTH(A143),1))+1</f>
        <v>4</v>
      </c>
      <c r="AA143" s="126">
        <f>IF(V143="",0,V143/8)</f>
        <v>0</v>
      </c>
      <c r="AB143" s="125">
        <f>IF(E143="02PZ03405",0,1)</f>
        <v>1</v>
      </c>
    </row>
    <row r="144" spans="1:28" x14ac:dyDescent="0.2">
      <c r="A144" s="37">
        <v>44763</v>
      </c>
      <c r="B144" s="31" t="s">
        <v>87</v>
      </c>
      <c r="C144" s="31" t="s">
        <v>93</v>
      </c>
      <c r="D144" s="38">
        <v>2</v>
      </c>
      <c r="E144" s="39" t="s">
        <v>245</v>
      </c>
      <c r="F144" s="33" t="str">
        <f>IF(E144="","",VLOOKUP(E144,'Base Datos'!$A$2:$M$150,2,FALSE))</f>
        <v>No funciona p/ problema de molde</v>
      </c>
      <c r="G144" s="99">
        <v>0</v>
      </c>
      <c r="H144" s="102">
        <v>0</v>
      </c>
      <c r="I144" s="32">
        <v>0</v>
      </c>
      <c r="J144" s="32">
        <v>0</v>
      </c>
      <c r="K144" s="31">
        <v>0</v>
      </c>
      <c r="L144" s="39">
        <v>0</v>
      </c>
      <c r="M144" s="33">
        <f>IF(E144="","",VLOOKUP(E144,'Base Datos'!$A$2:$M$150,3,FALSE))</f>
        <v>0</v>
      </c>
      <c r="N144" s="23">
        <f>IF(E144="","",VLOOKUP(E144,'Base Datos'!$A$2:$M$150,4,FALSE))</f>
        <v>0</v>
      </c>
      <c r="O144" s="23">
        <f>IF(E144="","",VLOOKUP(E144,'Base Datos'!$A$2:$M$150,5,FALSE))</f>
        <v>0</v>
      </c>
      <c r="P144" s="23">
        <f>IF(E144="","",VLOOKUP(E144,'Base Datos'!$A$2:$M$150,6,FALSE))</f>
        <v>0</v>
      </c>
      <c r="Q144" s="23">
        <f>IF(E144="","",VLOOKUP(E144,'Base Datos'!$A$2:$M$150,7,FALSE))</f>
        <v>0</v>
      </c>
      <c r="R144" s="40">
        <f>IF(E144="","",VLOOKUP(E144,'Base Datos'!$A$2:$M$150,8,FALSE))</f>
        <v>0</v>
      </c>
      <c r="S144" s="40">
        <f>IF(E144="","",VLOOKUP(E144,'Base Datos'!$A$2:$M$150,9,FALSE))</f>
        <v>0</v>
      </c>
      <c r="T144" s="33">
        <f>IF(E144="","",(H144*I144)-(J144+K144))</f>
        <v>0</v>
      </c>
      <c r="U144" s="33">
        <f>IF(E144="","",(I144*R144)/1000)</f>
        <v>0</v>
      </c>
      <c r="V144" s="123">
        <f>IF(G144="",0,(G144*H144)/3600)</f>
        <v>0</v>
      </c>
      <c r="W144" s="45">
        <f>IFERROR(IF(E144="","",(H144/P144)),0)</f>
        <v>0</v>
      </c>
      <c r="X144" s="94">
        <f>WEEKDAY(A144,1)</f>
        <v>5</v>
      </c>
      <c r="Y144" s="120">
        <f>MONTH(A144)</f>
        <v>7</v>
      </c>
      <c r="Z144" s="125">
        <f>WEEKNUM(A144)-WEEKNUM(DATE(YEAR(A144),MONTH(A144),1))+1</f>
        <v>4</v>
      </c>
      <c r="AA144" s="126">
        <f>IF(V144="",0,V144/8)</f>
        <v>0</v>
      </c>
      <c r="AB144" s="125">
        <f>IF(E144="02PZ03405",0,1)</f>
        <v>1</v>
      </c>
    </row>
    <row r="145" spans="1:28" x14ac:dyDescent="0.2">
      <c r="A145" s="37">
        <v>44761</v>
      </c>
      <c r="B145" s="31" t="s">
        <v>87</v>
      </c>
      <c r="C145" s="31" t="s">
        <v>93</v>
      </c>
      <c r="D145" s="38">
        <v>2</v>
      </c>
      <c r="E145" s="39" t="s">
        <v>245</v>
      </c>
      <c r="F145" s="33" t="str">
        <f>IF(E145="","",VLOOKUP(E145,'Base Datos'!$A$2:$M$150,2,FALSE))</f>
        <v>No funciona p/ problema de molde</v>
      </c>
      <c r="G145" s="99"/>
      <c r="H145" s="102">
        <v>0</v>
      </c>
      <c r="I145" s="32">
        <v>0</v>
      </c>
      <c r="J145" s="32">
        <v>0</v>
      </c>
      <c r="K145" s="31"/>
      <c r="L145" s="39">
        <v>0</v>
      </c>
      <c r="M145" s="33">
        <f>IF(E145="","",VLOOKUP(E145,'Base Datos'!$A$2:$M$150,3,FALSE))</f>
        <v>0</v>
      </c>
      <c r="N145" s="23">
        <f>IF(E145="","",VLOOKUP(E145,'Base Datos'!$A$2:$M$150,4,FALSE))</f>
        <v>0</v>
      </c>
      <c r="O145" s="23">
        <f>IF(E145="","",VLOOKUP(E145,'Base Datos'!$A$2:$M$150,5,FALSE))</f>
        <v>0</v>
      </c>
      <c r="P145" s="23">
        <f>IF(E145="","",VLOOKUP(E145,'Base Datos'!$A$2:$M$150,6,FALSE))</f>
        <v>0</v>
      </c>
      <c r="Q145" s="23">
        <f>IF(E145="","",VLOOKUP(E145,'Base Datos'!$A$2:$M$150,7,FALSE))</f>
        <v>0</v>
      </c>
      <c r="R145" s="40">
        <f>IF(E145="","",VLOOKUP(E145,'Base Datos'!$A$2:$M$150,8,FALSE))</f>
        <v>0</v>
      </c>
      <c r="S145" s="40">
        <f>IF(E145="","",VLOOKUP(E145,'Base Datos'!$A$2:$M$150,9,FALSE))</f>
        <v>0</v>
      </c>
      <c r="T145" s="33">
        <f>IF(E145="","",(H145*I145)-(J145+K145))</f>
        <v>0</v>
      </c>
      <c r="U145" s="33">
        <f>IF(E145="","",(I145*R145)/1000)</f>
        <v>0</v>
      </c>
      <c r="V145" s="123">
        <f>IF(G145="",0,(G145*H145)/3600)</f>
        <v>0</v>
      </c>
      <c r="W145" s="45">
        <f>IFERROR(IF(E145="","",(H145/P145)),0)</f>
        <v>0</v>
      </c>
      <c r="X145" s="94">
        <f>WEEKDAY(A145,1)</f>
        <v>3</v>
      </c>
      <c r="Y145" s="120">
        <f>MONTH(A145)</f>
        <v>7</v>
      </c>
      <c r="Z145" s="125">
        <f>WEEKNUM(A145)-WEEKNUM(DATE(YEAR(A145),MONTH(A145),1))+1</f>
        <v>4</v>
      </c>
      <c r="AA145" s="126">
        <f>IF(V145="",0,V145/8)</f>
        <v>0</v>
      </c>
      <c r="AB145" s="125">
        <f>IF(E145="02PZ03405",0,1)</f>
        <v>1</v>
      </c>
    </row>
    <row r="146" spans="1:28" x14ac:dyDescent="0.2">
      <c r="A146" s="37">
        <v>44771</v>
      </c>
      <c r="B146" s="31" t="s">
        <v>87</v>
      </c>
      <c r="C146" s="31" t="s">
        <v>92</v>
      </c>
      <c r="D146" s="38">
        <v>5</v>
      </c>
      <c r="E146" s="39" t="s">
        <v>246</v>
      </c>
      <c r="F146" s="33" t="str">
        <f>IF(E146="","",VLOOKUP(E146,'Base Datos'!$A$2:$M$150,2,FALSE))</f>
        <v>No funciona p/ problema de inyectora</v>
      </c>
      <c r="G146" s="99">
        <v>35.9</v>
      </c>
      <c r="H146" s="102">
        <v>686</v>
      </c>
      <c r="I146" s="32">
        <v>1</v>
      </c>
      <c r="J146" s="32"/>
      <c r="K146" s="31"/>
      <c r="L146" s="39">
        <v>184975</v>
      </c>
      <c r="M146" s="33">
        <f>IF(E146="","",VLOOKUP(E146,'Base Datos'!$A$2:$M$150,3,FALSE))</f>
        <v>0</v>
      </c>
      <c r="N146" s="23">
        <f>IF(E146="","",VLOOKUP(E146,'Base Datos'!$A$2:$M$150,4,FALSE))</f>
        <v>0</v>
      </c>
      <c r="O146" s="23">
        <f>IF(E146="","",VLOOKUP(E146,'Base Datos'!$A$2:$M$150,5,FALSE))</f>
        <v>0</v>
      </c>
      <c r="P146" s="23">
        <f>IF(E146="","",VLOOKUP(E146,'Base Datos'!$A$2:$M$150,6,FALSE))</f>
        <v>0</v>
      </c>
      <c r="Q146" s="23">
        <f>IF(E146="","",VLOOKUP(E146,'Base Datos'!$A$2:$M$150,7,FALSE))</f>
        <v>0</v>
      </c>
      <c r="R146" s="40">
        <f>IF(E146="","",VLOOKUP(E146,'Base Datos'!$A$2:$M$150,8,FALSE))</f>
        <v>0</v>
      </c>
      <c r="S146" s="40">
        <f>IF(E146="","",VLOOKUP(E146,'Base Datos'!$A$2:$M$150,9,FALSE))</f>
        <v>0</v>
      </c>
      <c r="T146" s="33">
        <f>IF(E146="","",(H146*I146)-(J146+K146))</f>
        <v>686</v>
      </c>
      <c r="U146" s="33">
        <f>IF(E146="","",(I146*R146)/1000)</f>
        <v>0</v>
      </c>
      <c r="V146" s="123">
        <f>IF(G146="",0,(G146*H146)/3600)</f>
        <v>6.8409444444444443</v>
      </c>
      <c r="W146" s="45">
        <f>IFERROR(IF(E146="","",(H146/P146)),0)</f>
        <v>0</v>
      </c>
      <c r="X146" s="94">
        <f>WEEKDAY(A146,1)</f>
        <v>6</v>
      </c>
      <c r="Y146" s="120">
        <f>MONTH(A146)</f>
        <v>7</v>
      </c>
      <c r="Z146" s="125">
        <f>WEEKNUM(A146)-WEEKNUM(DATE(YEAR(A146),MONTH(A146),1))+1</f>
        <v>5</v>
      </c>
      <c r="AA146" s="126">
        <f>IF(V146="",0,V146/8)</f>
        <v>0.85511805555555553</v>
      </c>
      <c r="AB146" s="125">
        <f>IF(E146="02PZ03405",0,1)</f>
        <v>1</v>
      </c>
    </row>
    <row r="147" spans="1:28" x14ac:dyDescent="0.2">
      <c r="A147" s="37">
        <v>44756</v>
      </c>
      <c r="B147" s="31" t="s">
        <v>87</v>
      </c>
      <c r="C147" s="31" t="s">
        <v>92</v>
      </c>
      <c r="D147" s="38">
        <v>1</v>
      </c>
      <c r="E147" s="39" t="s">
        <v>246</v>
      </c>
      <c r="F147" s="33" t="str">
        <f>IF(E147="","",VLOOKUP(E147,'Base Datos'!$A$2:$M$150,2,FALSE))</f>
        <v>No funciona p/ problema de inyectora</v>
      </c>
      <c r="G147" s="99"/>
      <c r="H147" s="102"/>
      <c r="I147" s="32"/>
      <c r="J147" s="32"/>
      <c r="K147" s="31"/>
      <c r="L147" s="39"/>
      <c r="M147" s="33">
        <f>IF(E147="","",VLOOKUP(E147,'Base Datos'!$A$2:$M$150,3,FALSE))</f>
        <v>0</v>
      </c>
      <c r="N147" s="23">
        <f>IF(E147="","",VLOOKUP(E147,'Base Datos'!$A$2:$M$150,4,FALSE))</f>
        <v>0</v>
      </c>
      <c r="O147" s="23">
        <f>IF(E147="","",VLOOKUP(E147,'Base Datos'!$A$2:$M$150,5,FALSE))</f>
        <v>0</v>
      </c>
      <c r="P147" s="23">
        <f>IF(E147="","",VLOOKUP(E147,'Base Datos'!$A$2:$M$150,6,FALSE))</f>
        <v>0</v>
      </c>
      <c r="Q147" s="23">
        <f>IF(E147="","",VLOOKUP(E147,'Base Datos'!$A$2:$M$150,7,FALSE))</f>
        <v>0</v>
      </c>
      <c r="R147" s="40">
        <f>IF(E147="","",VLOOKUP(E147,'Base Datos'!$A$2:$M$150,8,FALSE))</f>
        <v>0</v>
      </c>
      <c r="S147" s="40">
        <f>IF(E147="","",VLOOKUP(E147,'Base Datos'!$A$2:$M$150,9,FALSE))</f>
        <v>0</v>
      </c>
      <c r="T147" s="33">
        <f>IF(E147="","",(H147*I147)-(J147+K147))</f>
        <v>0</v>
      </c>
      <c r="U147" s="33">
        <f>IF(E147="","",(I147*R147)/1000)</f>
        <v>0</v>
      </c>
      <c r="V147" s="123">
        <f>IF(G147="",0,(G147*H147)/3600)</f>
        <v>0</v>
      </c>
      <c r="W147" s="45">
        <f>IFERROR(IF(E147="","",(H147/P147)),0)</f>
        <v>0</v>
      </c>
      <c r="X147" s="94">
        <f>WEEKDAY(A147,1)</f>
        <v>5</v>
      </c>
      <c r="Y147" s="120">
        <f>MONTH(A147)</f>
        <v>7</v>
      </c>
      <c r="Z147" s="125">
        <f>WEEKNUM(A147)-WEEKNUM(DATE(YEAR(A147),MONTH(A147),1))+1</f>
        <v>3</v>
      </c>
      <c r="AA147" s="126">
        <f>IF(V147="",0,V147/8)</f>
        <v>0</v>
      </c>
      <c r="AB147" s="125">
        <f>IF(E147="02PZ03405",0,1)</f>
        <v>1</v>
      </c>
    </row>
    <row r="148" spans="1:28" x14ac:dyDescent="0.2">
      <c r="A148" s="37">
        <v>44776</v>
      </c>
      <c r="B148" s="31" t="s">
        <v>34</v>
      </c>
      <c r="C148" s="31" t="s">
        <v>89</v>
      </c>
      <c r="D148" s="38">
        <v>3</v>
      </c>
      <c r="E148" s="39" t="s">
        <v>246</v>
      </c>
      <c r="F148" s="33" t="str">
        <f>IF(E148="","",VLOOKUP(E148,'Base Datos'!$A$2:$M$150,2,FALSE))</f>
        <v>No funciona p/ problema de inyectora</v>
      </c>
      <c r="G148" s="99">
        <v>0</v>
      </c>
      <c r="H148" s="102">
        <v>0</v>
      </c>
      <c r="I148" s="32">
        <v>0</v>
      </c>
      <c r="J148" s="32">
        <v>0</v>
      </c>
      <c r="K148" s="31">
        <v>0</v>
      </c>
      <c r="L148" s="39">
        <v>0</v>
      </c>
      <c r="M148" s="33">
        <f>IF(E148="","",VLOOKUP(E148,'Base Datos'!$A$2:$M$150,3,FALSE))</f>
        <v>0</v>
      </c>
      <c r="N148" s="23">
        <f>IF(E148="","",VLOOKUP(E148,'Base Datos'!$A$2:$M$150,4,FALSE))</f>
        <v>0</v>
      </c>
      <c r="O148" s="23">
        <f>IF(E148="","",VLOOKUP(E148,'Base Datos'!$A$2:$M$150,5,FALSE))</f>
        <v>0</v>
      </c>
      <c r="P148" s="23">
        <f>IF(E148="","",VLOOKUP(E148,'Base Datos'!$A$2:$M$150,6,FALSE))</f>
        <v>0</v>
      </c>
      <c r="Q148" s="23">
        <f>IF(E148="","",VLOOKUP(E148,'Base Datos'!$A$2:$M$150,7,FALSE))</f>
        <v>0</v>
      </c>
      <c r="R148" s="40">
        <f>IF(E148="","",VLOOKUP(E148,'Base Datos'!$A$2:$M$150,8,FALSE))</f>
        <v>0</v>
      </c>
      <c r="S148" s="40">
        <f>IF(E148="","",VLOOKUP(E148,'Base Datos'!$A$2:$M$150,9,FALSE))</f>
        <v>0</v>
      </c>
      <c r="T148" s="33">
        <f>IF(E148="","",(H148*I148)-(J148+K148))</f>
        <v>0</v>
      </c>
      <c r="U148" s="33">
        <f>IF(E148="","",(I148*R148)/1000)</f>
        <v>0</v>
      </c>
      <c r="V148" s="123">
        <f>IF(G148="",0,(G148*H148)/3600)</f>
        <v>0</v>
      </c>
      <c r="W148" s="45">
        <f>IFERROR(IF(E148="","",(H148/P148)),0)</f>
        <v>0</v>
      </c>
      <c r="X148" s="23">
        <f>WEEKDAY(A148,1)</f>
        <v>4</v>
      </c>
      <c r="Y148" s="120">
        <f>MONTH(A148)</f>
        <v>8</v>
      </c>
      <c r="Z148" s="125">
        <f>WEEKNUM(A148)-WEEKNUM(DATE(YEAR(A148),MONTH(A148),1))+1</f>
        <v>1</v>
      </c>
      <c r="AA148" s="126">
        <f>IF(V148="",0,V148/8)</f>
        <v>0</v>
      </c>
      <c r="AB148" s="125">
        <f>IF(E148="02PZ03405",0,1)</f>
        <v>1</v>
      </c>
    </row>
    <row r="149" spans="1:28" x14ac:dyDescent="0.2">
      <c r="A149" s="37">
        <v>44757</v>
      </c>
      <c r="B149" s="119" t="s">
        <v>34</v>
      </c>
      <c r="C149" s="31" t="s">
        <v>35</v>
      </c>
      <c r="D149" s="118">
        <v>5</v>
      </c>
      <c r="E149" s="39" t="s">
        <v>246</v>
      </c>
      <c r="F149" s="33" t="str">
        <f>IF(E149="","",VLOOKUP(E149,'Base Datos'!$A$2:$M$150,2,FALSE))</f>
        <v>No funciona p/ problema de inyectora</v>
      </c>
      <c r="G149" s="99"/>
      <c r="H149" s="102"/>
      <c r="I149" s="32"/>
      <c r="J149" s="32"/>
      <c r="K149" s="31"/>
      <c r="L149" s="39"/>
      <c r="M149" s="33">
        <f>IF(E149="","",VLOOKUP(E149,'Base Datos'!$A$2:$M$150,3,FALSE))</f>
        <v>0</v>
      </c>
      <c r="N149" s="23">
        <f>IF(E149="","",VLOOKUP(E149,'Base Datos'!$A$2:$M$150,4,FALSE))</f>
        <v>0</v>
      </c>
      <c r="O149" s="23">
        <f>IF(E149="","",VLOOKUP(E149,'Base Datos'!$A$2:$M$150,5,FALSE))</f>
        <v>0</v>
      </c>
      <c r="P149" s="23">
        <f>IF(E149="","",VLOOKUP(E149,'Base Datos'!$A$2:$M$150,6,FALSE))</f>
        <v>0</v>
      </c>
      <c r="Q149" s="23">
        <f>IF(E149="","",VLOOKUP(E149,'Base Datos'!$A$2:$M$150,7,FALSE))</f>
        <v>0</v>
      </c>
      <c r="R149" s="40">
        <f>IF(E149="","",VLOOKUP(E149,'Base Datos'!$A$2:$M$150,8,FALSE))</f>
        <v>0</v>
      </c>
      <c r="S149" s="40">
        <f>IF(E149="","",VLOOKUP(E149,'Base Datos'!$A$2:$M$150,9,FALSE))</f>
        <v>0</v>
      </c>
      <c r="T149" s="33">
        <f>IF(E149="","",(H149*I149)-(J149+K149))</f>
        <v>0</v>
      </c>
      <c r="U149" s="33">
        <f>IF(E149="","",(I149*R149)/1000)</f>
        <v>0</v>
      </c>
      <c r="V149" s="123">
        <f>IF(G149="",0,(G149*H149)/3600)</f>
        <v>0</v>
      </c>
      <c r="W149" s="45">
        <f>IFERROR(IF(E149="","",(H149/P149)),0)</f>
        <v>0</v>
      </c>
      <c r="X149" s="94">
        <f>WEEKDAY(A149,1)</f>
        <v>6</v>
      </c>
      <c r="Y149" s="120">
        <f>MONTH(A149)</f>
        <v>7</v>
      </c>
      <c r="Z149" s="125">
        <f>WEEKNUM(A149)-WEEKNUM(DATE(YEAR(A149),MONTH(A149),1))+1</f>
        <v>3</v>
      </c>
      <c r="AA149" s="126">
        <f>IF(V149="",0,V149/8)</f>
        <v>0</v>
      </c>
      <c r="AB149" s="125">
        <f>IF(E149="02PZ03405",0,1)</f>
        <v>1</v>
      </c>
    </row>
    <row r="150" spans="1:28" x14ac:dyDescent="0.2">
      <c r="A150" s="37">
        <v>44756</v>
      </c>
      <c r="B150" s="31" t="s">
        <v>86</v>
      </c>
      <c r="C150" s="31" t="s">
        <v>90</v>
      </c>
      <c r="D150" s="38">
        <v>1</v>
      </c>
      <c r="E150" s="39" t="s">
        <v>246</v>
      </c>
      <c r="F150" s="33" t="str">
        <f>IF(E150="","",VLOOKUP(E150,'Base Datos'!$A$2:$M$150,2,FALSE))</f>
        <v>No funciona p/ problema de inyectora</v>
      </c>
      <c r="G150" s="99"/>
      <c r="H150" s="102"/>
      <c r="I150" s="32"/>
      <c r="J150" s="32"/>
      <c r="K150" s="31"/>
      <c r="L150" s="39"/>
      <c r="M150" s="33">
        <f>IF(E150="","",VLOOKUP(E150,'Base Datos'!$A$2:$M$150,3,FALSE))</f>
        <v>0</v>
      </c>
      <c r="N150" s="23">
        <f>IF(E150="","",VLOOKUP(E150,'Base Datos'!$A$2:$M$150,4,FALSE))</f>
        <v>0</v>
      </c>
      <c r="O150" s="23">
        <f>IF(E150="","",VLOOKUP(E150,'Base Datos'!$A$2:$M$150,5,FALSE))</f>
        <v>0</v>
      </c>
      <c r="P150" s="23">
        <f>IF(E150="","",VLOOKUP(E150,'Base Datos'!$A$2:$M$150,6,FALSE))</f>
        <v>0</v>
      </c>
      <c r="Q150" s="23">
        <f>IF(E150="","",VLOOKUP(E150,'Base Datos'!$A$2:$M$150,7,FALSE))</f>
        <v>0</v>
      </c>
      <c r="R150" s="40">
        <f>IF(E150="","",VLOOKUP(E150,'Base Datos'!$A$2:$M$150,8,FALSE))</f>
        <v>0</v>
      </c>
      <c r="S150" s="40">
        <f>IF(E150="","",VLOOKUP(E150,'Base Datos'!$A$2:$M$150,9,FALSE))</f>
        <v>0</v>
      </c>
      <c r="T150" s="33">
        <f>IF(E150="","",(H150*I150)-(J150+K150))</f>
        <v>0</v>
      </c>
      <c r="U150" s="33">
        <f>IF(E150="","",(I150*R150)/1000)</f>
        <v>0</v>
      </c>
      <c r="V150" s="123">
        <f>IF(G150="",0,(G150*H150)/3600)</f>
        <v>0</v>
      </c>
      <c r="W150" s="45">
        <f>IFERROR(IF(E150="","",(H150/P150)),0)</f>
        <v>0</v>
      </c>
      <c r="X150" s="94">
        <f>WEEKDAY(A150,1)</f>
        <v>5</v>
      </c>
      <c r="Y150" s="120">
        <f>MONTH(A150)</f>
        <v>7</v>
      </c>
      <c r="Z150" s="125">
        <f>WEEKNUM(A150)-WEEKNUM(DATE(YEAR(A150),MONTH(A150),1))+1</f>
        <v>3</v>
      </c>
      <c r="AA150" s="126">
        <f>IF(V150="",0,V150/8)</f>
        <v>0</v>
      </c>
      <c r="AB150" s="125">
        <f>IF(E150="02PZ03405",0,1)</f>
        <v>1</v>
      </c>
    </row>
    <row r="151" spans="1:28" x14ac:dyDescent="0.2">
      <c r="A151" s="37">
        <v>44760</v>
      </c>
      <c r="B151" s="31" t="s">
        <v>34</v>
      </c>
      <c r="C151" s="31" t="s">
        <v>89</v>
      </c>
      <c r="D151" s="38">
        <v>2</v>
      </c>
      <c r="E151" s="39" t="s">
        <v>43</v>
      </c>
      <c r="F151" s="33" t="str">
        <f>IF(E151="","",VLOOKUP(E151,'Base Datos'!$A$2:$M$150,2,FALSE))</f>
        <v>Mate Prisma PP</v>
      </c>
      <c r="G151" s="99">
        <v>51</v>
      </c>
      <c r="H151" s="102">
        <v>446</v>
      </c>
      <c r="I151" s="32">
        <v>1</v>
      </c>
      <c r="J151" s="32">
        <v>0</v>
      </c>
      <c r="K151" s="31">
        <v>0</v>
      </c>
      <c r="L151" s="39">
        <v>184706</v>
      </c>
      <c r="M151" s="33">
        <f>IF(E151="","",VLOOKUP(E151,'Base Datos'!$A$2:$M$150,3,FALSE))</f>
        <v>57.4</v>
      </c>
      <c r="N151" s="23">
        <f>IF(E151="","",VLOOKUP(E151,'Base Datos'!$A$2:$M$150,4,FALSE))</f>
        <v>63</v>
      </c>
      <c r="O151" s="23">
        <f>IF(E151="","",VLOOKUP(E151,'Base Datos'!$A$2:$M$150,5,FALSE))</f>
        <v>57.4</v>
      </c>
      <c r="P151" s="23">
        <f>IF(E151="","",VLOOKUP(E151,'Base Datos'!$A$2:$M$150,6,FALSE))</f>
        <v>502</v>
      </c>
      <c r="Q151" s="23">
        <f>IF(E151="","",VLOOKUP(E151,'Base Datos'!$A$2:$M$150,7,FALSE))</f>
        <v>1</v>
      </c>
      <c r="R151" s="40">
        <f>IF(E151="","",VLOOKUP(E151,'Base Datos'!$A$2:$M$150,8,FALSE))</f>
        <v>120</v>
      </c>
      <c r="S151" s="40" t="str">
        <f>IF(E151="","",VLOOKUP(E151,'Base Datos'!$A$2:$M$150,9,FALSE))</f>
        <v>PP</v>
      </c>
      <c r="T151" s="33">
        <f>IF(E151="","",(H151*I151)-(J151+K151))</f>
        <v>446</v>
      </c>
      <c r="U151" s="33">
        <f>IF(E151="","",(I151*R151)/1000)</f>
        <v>0.12</v>
      </c>
      <c r="V151" s="123">
        <f>IF(G151="",0,(G151*H151)/3600)</f>
        <v>6.3183333333333334</v>
      </c>
      <c r="W151" s="45">
        <f>IFERROR(IF(E151="","",(H151/P151)),0)</f>
        <v>0.88844621513944222</v>
      </c>
      <c r="X151" s="94">
        <f>WEEKDAY(A151,1)</f>
        <v>2</v>
      </c>
      <c r="Y151" s="120">
        <f>MONTH(A151)</f>
        <v>7</v>
      </c>
      <c r="Z151" s="125">
        <f>WEEKNUM(A151)-WEEKNUM(DATE(YEAR(A151),MONTH(A151),1))+1</f>
        <v>4</v>
      </c>
      <c r="AA151" s="126">
        <f>IF(V151="",0,V151/8)</f>
        <v>0.78979166666666667</v>
      </c>
      <c r="AB151" s="125">
        <f>IF(E151="02PZ03405",0,1)</f>
        <v>1</v>
      </c>
    </row>
    <row r="152" spans="1:28" x14ac:dyDescent="0.2">
      <c r="A152" s="37">
        <v>44755</v>
      </c>
      <c r="B152" s="31" t="s">
        <v>34</v>
      </c>
      <c r="C152" s="31" t="s">
        <v>89</v>
      </c>
      <c r="D152" s="38">
        <v>2</v>
      </c>
      <c r="E152" s="39" t="s">
        <v>43</v>
      </c>
      <c r="F152" s="33" t="str">
        <f>IF(E152="","",VLOOKUP(E152,'Base Datos'!$A$2:$M$150,2,FALSE))</f>
        <v>Mate Prisma PP</v>
      </c>
      <c r="G152" s="32">
        <v>53</v>
      </c>
      <c r="H152" s="102">
        <v>535</v>
      </c>
      <c r="I152" s="32">
        <v>1</v>
      </c>
      <c r="J152" s="32">
        <v>5</v>
      </c>
      <c r="K152" s="31">
        <v>10</v>
      </c>
      <c r="L152" s="39">
        <v>184706</v>
      </c>
      <c r="M152" s="33">
        <f>IF(E152="","",VLOOKUP(E152,'Base Datos'!$A$2:$M$150,3,FALSE))</f>
        <v>57.4</v>
      </c>
      <c r="N152" s="23">
        <f>IF(E152="","",VLOOKUP(E152,'Base Datos'!$A$2:$M$150,4,FALSE))</f>
        <v>63</v>
      </c>
      <c r="O152" s="23">
        <f>IF(E152="","",VLOOKUP(E152,'Base Datos'!$A$2:$M$150,5,FALSE))</f>
        <v>57.4</v>
      </c>
      <c r="P152" s="23">
        <f>IF(E152="","",VLOOKUP(E152,'Base Datos'!$A$2:$M$150,6,FALSE))</f>
        <v>502</v>
      </c>
      <c r="Q152" s="23">
        <f>IF(E152="","",VLOOKUP(E152,'Base Datos'!$A$2:$M$150,7,FALSE))</f>
        <v>1</v>
      </c>
      <c r="R152" s="40">
        <f>IF(E152="","",VLOOKUP(E152,'Base Datos'!$A$2:$M$150,8,FALSE))</f>
        <v>120</v>
      </c>
      <c r="S152" s="40" t="str">
        <f>IF(E152="","",VLOOKUP(E152,'Base Datos'!$A$2:$M$150,9,FALSE))</f>
        <v>PP</v>
      </c>
      <c r="T152" s="33">
        <f>IF(E152="","",(H152*I152)-(J152+K152))</f>
        <v>520</v>
      </c>
      <c r="U152" s="33">
        <f>IF(E152="","",(I152*R152)/1000)</f>
        <v>0.12</v>
      </c>
      <c r="V152" s="123">
        <f>IF(G152="",0,(G152*H152)/3600)</f>
        <v>7.8763888888888891</v>
      </c>
      <c r="W152" s="45">
        <f>IFERROR(IF(E152="","",(H152/P152)),0)</f>
        <v>1.0657370517928286</v>
      </c>
      <c r="X152" s="94">
        <f>WEEKDAY(A152,1)</f>
        <v>4</v>
      </c>
      <c r="Y152" s="120">
        <f>MONTH(A152)</f>
        <v>7</v>
      </c>
      <c r="Z152" s="125">
        <f>WEEKNUM(A152)-WEEKNUM(DATE(YEAR(A152),MONTH(A152),1))+1</f>
        <v>3</v>
      </c>
      <c r="AA152" s="126">
        <f>IF(V152="",0,V152/8)</f>
        <v>0.98454861111111114</v>
      </c>
      <c r="AB152" s="125">
        <f>IF(E152="02PZ03405",0,1)</f>
        <v>1</v>
      </c>
    </row>
    <row r="153" spans="1:28" x14ac:dyDescent="0.2">
      <c r="A153" s="37">
        <v>44754</v>
      </c>
      <c r="B153" s="31" t="s">
        <v>34</v>
      </c>
      <c r="C153" s="31" t="s">
        <v>89</v>
      </c>
      <c r="D153" s="38">
        <v>2</v>
      </c>
      <c r="E153" s="39" t="s">
        <v>43</v>
      </c>
      <c r="F153" s="33" t="str">
        <f>IF(E153="","",VLOOKUP(E153,'Base Datos'!$A$2:$M$150,2,FALSE))</f>
        <v>Mate Prisma PP</v>
      </c>
      <c r="G153" s="32">
        <v>53.4</v>
      </c>
      <c r="H153" s="102">
        <v>510</v>
      </c>
      <c r="I153" s="32">
        <v>1</v>
      </c>
      <c r="J153" s="32">
        <v>89</v>
      </c>
      <c r="K153" s="31">
        <v>0</v>
      </c>
      <c r="L153" s="39">
        <v>184706</v>
      </c>
      <c r="M153" s="33">
        <f>IF(E153="","",VLOOKUP(E153,'Base Datos'!$A$2:$M$150,3,FALSE))</f>
        <v>57.4</v>
      </c>
      <c r="N153" s="23">
        <f>IF(E153="","",VLOOKUP(E153,'Base Datos'!$A$2:$M$150,4,FALSE))</f>
        <v>63</v>
      </c>
      <c r="O153" s="23">
        <f>IF(E153="","",VLOOKUP(E153,'Base Datos'!$A$2:$M$150,5,FALSE))</f>
        <v>57.4</v>
      </c>
      <c r="P153" s="23">
        <f>IF(E153="","",VLOOKUP(E153,'Base Datos'!$A$2:$M$150,6,FALSE))</f>
        <v>502</v>
      </c>
      <c r="Q153" s="23">
        <f>IF(E153="","",VLOOKUP(E153,'Base Datos'!$A$2:$M$150,7,FALSE))</f>
        <v>1</v>
      </c>
      <c r="R153" s="40">
        <f>IF(E153="","",VLOOKUP(E153,'Base Datos'!$A$2:$M$150,8,FALSE))</f>
        <v>120</v>
      </c>
      <c r="S153" s="40" t="str">
        <f>IF(E153="","",VLOOKUP(E153,'Base Datos'!$A$2:$M$150,9,FALSE))</f>
        <v>PP</v>
      </c>
      <c r="T153" s="33">
        <f>IF(E153="","",(H153*I153)-(J153+K153))</f>
        <v>421</v>
      </c>
      <c r="U153" s="33">
        <f>IF(E153="","",(I153*R153)/1000)</f>
        <v>0.12</v>
      </c>
      <c r="V153" s="123">
        <f>IF(G153="",0,(G153*H153)/3600)</f>
        <v>7.5650000000000004</v>
      </c>
      <c r="W153" s="45">
        <f>IFERROR(IF(E153="","",(H153/P153)),0)</f>
        <v>1.0159362549800797</v>
      </c>
      <c r="X153" s="94">
        <f>WEEKDAY(A153,1)</f>
        <v>3</v>
      </c>
      <c r="Y153" s="120">
        <f>MONTH(A153)</f>
        <v>7</v>
      </c>
      <c r="Z153" s="125">
        <f>WEEKNUM(A153)-WEEKNUM(DATE(YEAR(A153),MONTH(A153),1))+1</f>
        <v>3</v>
      </c>
      <c r="AA153" s="126">
        <f>IF(V153="",0,V153/8)</f>
        <v>0.94562500000000005</v>
      </c>
      <c r="AB153" s="125">
        <f>IF(E153="02PZ03405",0,1)</f>
        <v>1</v>
      </c>
    </row>
    <row r="154" spans="1:28" x14ac:dyDescent="0.2">
      <c r="A154" s="101">
        <v>44749</v>
      </c>
      <c r="B154" s="31" t="s">
        <v>34</v>
      </c>
      <c r="C154" s="31" t="s">
        <v>89</v>
      </c>
      <c r="D154" s="38">
        <v>2</v>
      </c>
      <c r="E154" s="39" t="s">
        <v>43</v>
      </c>
      <c r="F154" s="33" t="str">
        <f>IF(E154="","",VLOOKUP(E154,'Base Datos'!$A$2:$M$150,2,FALSE))</f>
        <v>Mate Prisma PP</v>
      </c>
      <c r="G154" s="32">
        <v>67.5</v>
      </c>
      <c r="H154" s="32">
        <v>334</v>
      </c>
      <c r="I154" s="32">
        <v>1</v>
      </c>
      <c r="J154" s="32">
        <v>20</v>
      </c>
      <c r="K154" s="31">
        <v>5</v>
      </c>
      <c r="L154" s="39">
        <v>183471</v>
      </c>
      <c r="M154" s="33">
        <f>IF(E154="","",VLOOKUP(E154,'Base Datos'!$A$2:$M$150,3,FALSE))</f>
        <v>57.4</v>
      </c>
      <c r="N154" s="23">
        <f>IF(E154="","",VLOOKUP(E154,'Base Datos'!$A$2:$M$150,4,FALSE))</f>
        <v>63</v>
      </c>
      <c r="O154" s="23">
        <f>IF(E154="","",VLOOKUP(E154,'Base Datos'!$A$2:$M$150,5,FALSE))</f>
        <v>57.4</v>
      </c>
      <c r="P154" s="23">
        <f>IF(E154="","",VLOOKUP(E154,'Base Datos'!$A$2:$M$150,6,FALSE))</f>
        <v>502</v>
      </c>
      <c r="Q154" s="23">
        <f>IF(E154="","",VLOOKUP(E154,'Base Datos'!$A$2:$M$150,7,FALSE))</f>
        <v>1</v>
      </c>
      <c r="R154" s="40">
        <f>IF(E154="","",VLOOKUP(E154,'Base Datos'!$A$2:$M$150,8,FALSE))</f>
        <v>120</v>
      </c>
      <c r="S154" s="40" t="str">
        <f>IF(E154="","",VLOOKUP(E154,'Base Datos'!$A$2:$M$150,9,FALSE))</f>
        <v>PP</v>
      </c>
      <c r="T154" s="33">
        <f>IF(E154="","",(H154*I154)-(J154+K154))</f>
        <v>309</v>
      </c>
      <c r="U154" s="33">
        <f>IF(E154="","",(H154*R154)/1000)</f>
        <v>40.08</v>
      </c>
      <c r="V154" s="123">
        <f>IF(G154="",0,(G154*H154)/3600)</f>
        <v>6.2625000000000002</v>
      </c>
      <c r="W154" s="45">
        <f>IFERROR(IF(E154="","",(H154/P154)),0)</f>
        <v>0.66533864541832666</v>
      </c>
      <c r="X154" s="94">
        <f>WEEKDAY(A154,1)</f>
        <v>5</v>
      </c>
      <c r="Y154" s="120">
        <f>MONTH(A154)</f>
        <v>7</v>
      </c>
      <c r="Z154" s="125">
        <f>WEEKNUM(A154)-WEEKNUM(DATE(YEAR(A154),MONTH(A154),1))+1</f>
        <v>2</v>
      </c>
      <c r="AA154" s="126">
        <f>IF(V154="",0,V154/8)</f>
        <v>0.78281250000000002</v>
      </c>
      <c r="AB154" s="125">
        <f>IF(E154="02PZ03405",0,1)</f>
        <v>1</v>
      </c>
    </row>
    <row r="155" spans="1:28" x14ac:dyDescent="0.2">
      <c r="A155" s="37">
        <v>44761</v>
      </c>
      <c r="B155" s="31" t="s">
        <v>34</v>
      </c>
      <c r="C155" s="31" t="s">
        <v>35</v>
      </c>
      <c r="D155" s="38">
        <v>2</v>
      </c>
      <c r="E155" s="39" t="s">
        <v>43</v>
      </c>
      <c r="F155" s="33" t="str">
        <f>IF(E155="","",VLOOKUP(E155,'Base Datos'!$A$2:$M$150,2,FALSE))</f>
        <v>Mate Prisma PP</v>
      </c>
      <c r="G155" s="99">
        <v>42</v>
      </c>
      <c r="H155" s="102">
        <v>511</v>
      </c>
      <c r="I155" s="32">
        <v>1</v>
      </c>
      <c r="J155" s="32">
        <v>9</v>
      </c>
      <c r="K155" s="31">
        <v>8</v>
      </c>
      <c r="L155" s="39">
        <v>184706</v>
      </c>
      <c r="M155" s="33">
        <f>IF(E155="","",VLOOKUP(E155,'Base Datos'!$A$2:$M$150,3,FALSE))</f>
        <v>57.4</v>
      </c>
      <c r="N155" s="23">
        <f>IF(E155="","",VLOOKUP(E155,'Base Datos'!$A$2:$M$150,4,FALSE))</f>
        <v>63</v>
      </c>
      <c r="O155" s="23">
        <f>IF(E155="","",VLOOKUP(E155,'Base Datos'!$A$2:$M$150,5,FALSE))</f>
        <v>57.4</v>
      </c>
      <c r="P155" s="23">
        <f>IF(E155="","",VLOOKUP(E155,'Base Datos'!$A$2:$M$150,6,FALSE))</f>
        <v>502</v>
      </c>
      <c r="Q155" s="23">
        <f>IF(E155="","",VLOOKUP(E155,'Base Datos'!$A$2:$M$150,7,FALSE))</f>
        <v>1</v>
      </c>
      <c r="R155" s="40">
        <f>IF(E155="","",VLOOKUP(E155,'Base Datos'!$A$2:$M$150,8,FALSE))</f>
        <v>120</v>
      </c>
      <c r="S155" s="40" t="str">
        <f>IF(E155="","",VLOOKUP(E155,'Base Datos'!$A$2:$M$150,9,FALSE))</f>
        <v>PP</v>
      </c>
      <c r="T155" s="33">
        <f>IF(E155="","",(H155*I155)-(J155+K155))</f>
        <v>494</v>
      </c>
      <c r="U155" s="33">
        <f>IF(E155="","",(I155*R155)/1000)</f>
        <v>0.12</v>
      </c>
      <c r="V155" s="123">
        <f>IF(G155="",0,(G155*H155)/3600)</f>
        <v>5.9616666666666669</v>
      </c>
      <c r="W155" s="45">
        <f>IFERROR(IF(E155="","",(H155/P155)),0)</f>
        <v>1.0179282868525896</v>
      </c>
      <c r="X155" s="94">
        <f>WEEKDAY(A155,1)</f>
        <v>3</v>
      </c>
      <c r="Y155" s="120">
        <f>MONTH(A155)</f>
        <v>7</v>
      </c>
      <c r="Z155" s="125">
        <f>WEEKNUM(A155)-WEEKNUM(DATE(YEAR(A155),MONTH(A155),1))+1</f>
        <v>4</v>
      </c>
      <c r="AA155" s="126">
        <f>IF(V155="",0,V155/8)</f>
        <v>0.74520833333333336</v>
      </c>
      <c r="AB155" s="125">
        <f>IF(E155="02PZ03405",0,1)</f>
        <v>1</v>
      </c>
    </row>
    <row r="156" spans="1:28" x14ac:dyDescent="0.2">
      <c r="A156" s="101">
        <v>44749</v>
      </c>
      <c r="B156" s="31" t="s">
        <v>86</v>
      </c>
      <c r="C156" s="31" t="s">
        <v>91</v>
      </c>
      <c r="D156" s="38">
        <v>2</v>
      </c>
      <c r="E156" s="39" t="s">
        <v>43</v>
      </c>
      <c r="F156" s="33" t="str">
        <f>IF(E156="","",VLOOKUP(E156,'Base Datos'!$A$2:$M$150,2,FALSE))</f>
        <v>Mate Prisma PP</v>
      </c>
      <c r="G156" s="32">
        <v>67.5</v>
      </c>
      <c r="H156" s="32">
        <v>75</v>
      </c>
      <c r="I156" s="32">
        <v>1</v>
      </c>
      <c r="J156" s="32">
        <v>3</v>
      </c>
      <c r="K156" s="31"/>
      <c r="L156" s="39">
        <v>183471</v>
      </c>
      <c r="M156" s="33">
        <f>IF(E156="","",VLOOKUP(E156,'Base Datos'!$A$2:$M$150,3,FALSE))</f>
        <v>57.4</v>
      </c>
      <c r="N156" s="23">
        <f>IF(E156="","",VLOOKUP(E156,'Base Datos'!$A$2:$M$150,4,FALSE))</f>
        <v>63</v>
      </c>
      <c r="O156" s="23">
        <f>IF(E156="","",VLOOKUP(E156,'Base Datos'!$A$2:$M$150,5,FALSE))</f>
        <v>57.4</v>
      </c>
      <c r="P156" s="23">
        <f>IF(E156="","",VLOOKUP(E156,'Base Datos'!$A$2:$M$150,6,FALSE))</f>
        <v>502</v>
      </c>
      <c r="Q156" s="23">
        <f>IF(E156="","",VLOOKUP(E156,'Base Datos'!$A$2:$M$150,7,FALSE))</f>
        <v>1</v>
      </c>
      <c r="R156" s="40">
        <f>IF(E156="","",VLOOKUP(E156,'Base Datos'!$A$2:$M$150,8,FALSE))</f>
        <v>120</v>
      </c>
      <c r="S156" s="40" t="str">
        <f>IF(E156="","",VLOOKUP(E156,'Base Datos'!$A$2:$M$150,9,FALSE))</f>
        <v>PP</v>
      </c>
      <c r="T156" s="33">
        <f>IF(E156="","",(H156*I156)-(J156+K156))</f>
        <v>72</v>
      </c>
      <c r="U156" s="33">
        <f>IF(E156="","",(H156*R156)/1000)</f>
        <v>9</v>
      </c>
      <c r="V156" s="123">
        <f>IF(G156="",0,(G156*H156)/3600)</f>
        <v>1.40625</v>
      </c>
      <c r="W156" s="45">
        <f>IFERROR(IF(E156="","",(H156/P156)),0)</f>
        <v>0.14940239043824702</v>
      </c>
      <c r="X156" s="94">
        <f>WEEKDAY(A156,1)</f>
        <v>5</v>
      </c>
      <c r="Y156" s="120">
        <f>MONTH(A156)</f>
        <v>7</v>
      </c>
      <c r="Z156" s="125">
        <f>WEEKNUM(A156)-WEEKNUM(DATE(YEAR(A156),MONTH(A156),1))+1</f>
        <v>2</v>
      </c>
      <c r="AA156" s="126">
        <f>IF(V156="",0,V156/8)</f>
        <v>0.17578125</v>
      </c>
      <c r="AB156" s="125">
        <f>IF(E156="02PZ03405",0,1)</f>
        <v>1</v>
      </c>
    </row>
    <row r="157" spans="1:28" x14ac:dyDescent="0.2">
      <c r="A157" s="101">
        <v>44748</v>
      </c>
      <c r="B157" s="96" t="s">
        <v>86</v>
      </c>
      <c r="C157" s="96" t="s">
        <v>91</v>
      </c>
      <c r="D157" s="38">
        <v>2</v>
      </c>
      <c r="E157" s="39" t="s">
        <v>43</v>
      </c>
      <c r="F157" s="95" t="str">
        <f>IF(E157="","",VLOOKUP(E157,'Base Datos'!$A$2:$M$150,2,FALSE))</f>
        <v>Mate Prisma PP</v>
      </c>
      <c r="G157" s="99">
        <v>52</v>
      </c>
      <c r="H157" s="99">
        <v>346</v>
      </c>
      <c r="I157" s="99">
        <v>1</v>
      </c>
      <c r="J157" s="99">
        <v>3</v>
      </c>
      <c r="K157" s="39"/>
      <c r="L157" s="39">
        <v>183471</v>
      </c>
      <c r="M157" s="97">
        <f>IF(E157="","",VLOOKUP(E157,'Base Datos'!$A$2:$M$150,3,FALSE))</f>
        <v>57.4</v>
      </c>
      <c r="N157" s="40">
        <f>IF(E157="","",VLOOKUP(E157,'Base Datos'!$A$2:$M$150,4,FALSE))</f>
        <v>63</v>
      </c>
      <c r="O157" s="40">
        <f>IF(E157="","",VLOOKUP(E157,'Base Datos'!$A$2:$M$150,5,FALSE))</f>
        <v>57.4</v>
      </c>
      <c r="P157" s="40">
        <f>IF(E157="","",VLOOKUP(E157,'Base Datos'!$A$2:$M$150,6,FALSE))</f>
        <v>502</v>
      </c>
      <c r="Q157" s="40">
        <f>IF(E157="","",VLOOKUP(E157,'Base Datos'!$A$2:$M$150,7,FALSE))</f>
        <v>1</v>
      </c>
      <c r="R157" s="40">
        <f>IF(E157="","",VLOOKUP(E157,'Base Datos'!$A$2:$M$150,8,FALSE))</f>
        <v>120</v>
      </c>
      <c r="S157" s="40" t="str">
        <f>IF(E157="","",VLOOKUP(E157,'Base Datos'!$A$2:$M$150,9,FALSE))</f>
        <v>PP</v>
      </c>
      <c r="T157" s="97">
        <f>IF(E157="","",(H157*I157)-(J157+K157))</f>
        <v>343</v>
      </c>
      <c r="U157" s="98">
        <f>IF(E157="","",(H157*R157)/1000)</f>
        <v>41.52</v>
      </c>
      <c r="V157" s="123">
        <f>IF(G157="",0,(G157*H157)/3600)</f>
        <v>4.9977777777777774</v>
      </c>
      <c r="W157" s="45">
        <f>IFERROR(IF(E157="","",(H157/P157)),0)</f>
        <v>0.68924302788844627</v>
      </c>
      <c r="X157" s="94">
        <f>WEEKDAY(A157,1)</f>
        <v>4</v>
      </c>
      <c r="Y157" s="120">
        <f>MONTH(A157)</f>
        <v>7</v>
      </c>
      <c r="Z157" s="125">
        <f>WEEKNUM(A157)-WEEKNUM(DATE(YEAR(A157),MONTH(A157),1))+1</f>
        <v>2</v>
      </c>
      <c r="AA157" s="126">
        <f>IF(V157="",0,V157/8)</f>
        <v>0.62472222222222218</v>
      </c>
      <c r="AB157" s="125">
        <f>IF(E157="02PZ03405",0,1)</f>
        <v>1</v>
      </c>
    </row>
    <row r="158" spans="1:28" x14ac:dyDescent="0.2">
      <c r="A158" s="148">
        <v>44746</v>
      </c>
      <c r="B158" s="96" t="s">
        <v>86</v>
      </c>
      <c r="C158" s="96" t="s">
        <v>91</v>
      </c>
      <c r="D158" s="38">
        <v>2</v>
      </c>
      <c r="E158" s="39" t="s">
        <v>43</v>
      </c>
      <c r="F158" s="95" t="str">
        <f>IF(E158="","",VLOOKUP(E158,'Base Datos'!$A$2:$M$150,2,FALSE))</f>
        <v>Mate Prisma PP</v>
      </c>
      <c r="G158" s="99">
        <v>48</v>
      </c>
      <c r="H158" s="99">
        <v>520</v>
      </c>
      <c r="I158" s="99">
        <v>1</v>
      </c>
      <c r="J158" s="99">
        <v>25</v>
      </c>
      <c r="K158" s="39">
        <v>5</v>
      </c>
      <c r="L158" s="39">
        <v>183471</v>
      </c>
      <c r="M158" s="97">
        <f>IF(E158="","",VLOOKUP(E158,'Base Datos'!$A$2:$M$150,3,FALSE))</f>
        <v>57.4</v>
      </c>
      <c r="N158" s="40">
        <f>IF(E158="","",VLOOKUP(E158,'Base Datos'!$A$2:$M$150,4,FALSE))</f>
        <v>63</v>
      </c>
      <c r="O158" s="40">
        <f>IF(E158="","",VLOOKUP(E158,'Base Datos'!$A$2:$M$150,5,FALSE))</f>
        <v>57.4</v>
      </c>
      <c r="P158" s="40">
        <f>IF(E158="","",VLOOKUP(E158,'Base Datos'!$A$2:$M$150,6,FALSE))</f>
        <v>502</v>
      </c>
      <c r="Q158" s="40">
        <f>IF(E158="","",VLOOKUP(E158,'Base Datos'!$A$2:$M$150,7,FALSE))</f>
        <v>1</v>
      </c>
      <c r="R158" s="40">
        <f>IF(E158="","",VLOOKUP(E158,'Base Datos'!$A$2:$M$150,8,FALSE))</f>
        <v>120</v>
      </c>
      <c r="S158" s="40" t="str">
        <f>IF(E158="","",VLOOKUP(E158,'Base Datos'!$A$2:$M$150,9,FALSE))</f>
        <v>PP</v>
      </c>
      <c r="T158" s="97">
        <f>IF(E158="","",(H158*I158)-(J158+K158))</f>
        <v>490</v>
      </c>
      <c r="U158" s="98">
        <f>IF(E158="","",(H158*R158)/1000)</f>
        <v>62.4</v>
      </c>
      <c r="V158" s="123">
        <f>IF(G158="",0,(G158*H158)/3600)</f>
        <v>6.9333333333333336</v>
      </c>
      <c r="W158" s="45">
        <f>IFERROR(IF(E158="","",(H158/P158)),0)</f>
        <v>1.0358565737051793</v>
      </c>
      <c r="X158" s="94">
        <f>WEEKDAY(A158,1)</f>
        <v>2</v>
      </c>
      <c r="Y158" s="120">
        <f>MONTH(A158)</f>
        <v>7</v>
      </c>
      <c r="Z158" s="125">
        <f>WEEKNUM(A158)-WEEKNUM(DATE(YEAR(A158),MONTH(A158),1))+1</f>
        <v>2</v>
      </c>
      <c r="AA158" s="126">
        <f>IF(V158="",0,V158/8)</f>
        <v>0.8666666666666667</v>
      </c>
      <c r="AB158" s="125">
        <f>IF(E158="02PZ03405",0,1)</f>
        <v>1</v>
      </c>
    </row>
    <row r="159" spans="1:28" x14ac:dyDescent="0.2">
      <c r="A159" s="148">
        <v>44743</v>
      </c>
      <c r="B159" s="96" t="s">
        <v>86</v>
      </c>
      <c r="C159" s="96" t="s">
        <v>91</v>
      </c>
      <c r="D159" s="38">
        <v>2</v>
      </c>
      <c r="E159" s="39" t="s">
        <v>43</v>
      </c>
      <c r="F159" s="95" t="str">
        <f>IF(E159="","",VLOOKUP(E159,'Base Datos'!$A$2:$M$150,2,FALSE))</f>
        <v>Mate Prisma PP</v>
      </c>
      <c r="G159" s="99">
        <v>48</v>
      </c>
      <c r="H159" s="99">
        <v>500</v>
      </c>
      <c r="I159" s="99">
        <v>1</v>
      </c>
      <c r="J159" s="99">
        <v>10</v>
      </c>
      <c r="K159" s="39">
        <v>5</v>
      </c>
      <c r="L159" s="39">
        <v>184119</v>
      </c>
      <c r="M159" s="97">
        <f>IF(E159="","",VLOOKUP(E159,'Base Datos'!$A$2:$M$150,3,FALSE))</f>
        <v>57.4</v>
      </c>
      <c r="N159" s="40">
        <f>IF(E159="","",VLOOKUP(E159,'Base Datos'!$A$2:$M$150,4,FALSE))</f>
        <v>63</v>
      </c>
      <c r="O159" s="40">
        <f>IF(E159="","",VLOOKUP(E159,'Base Datos'!$A$2:$M$150,5,FALSE))</f>
        <v>57.4</v>
      </c>
      <c r="P159" s="40">
        <f>IF(E159="","",VLOOKUP(E159,'Base Datos'!$A$2:$M$150,6,FALSE))</f>
        <v>502</v>
      </c>
      <c r="Q159" s="40">
        <f>IF(E159="","",VLOOKUP(E159,'Base Datos'!$A$2:$M$150,7,FALSE))</f>
        <v>1</v>
      </c>
      <c r="R159" s="40">
        <f>IF(E159="","",VLOOKUP(E159,'Base Datos'!$A$2:$M$150,8,FALSE))</f>
        <v>120</v>
      </c>
      <c r="S159" s="40" t="str">
        <f>IF(E159="","",VLOOKUP(E159,'Base Datos'!$A$2:$M$150,9,FALSE))</f>
        <v>PP</v>
      </c>
      <c r="T159" s="97">
        <f>IF(E159="","",(H159*I159)-(J159+K159))</f>
        <v>485</v>
      </c>
      <c r="U159" s="98">
        <f>IF(E159="","",(H159*R159)/1000)</f>
        <v>60</v>
      </c>
      <c r="V159" s="123">
        <f>IF(G159="",0,(G159*H159)/3600)</f>
        <v>6.666666666666667</v>
      </c>
      <c r="W159" s="45">
        <f>IFERROR(IF(E159="","",(H159/P159)),0)</f>
        <v>0.99601593625498008</v>
      </c>
      <c r="X159" s="94">
        <f>WEEKDAY(A159,1)</f>
        <v>6</v>
      </c>
      <c r="Y159" s="120">
        <f>MONTH(A159)</f>
        <v>7</v>
      </c>
      <c r="Z159" s="125">
        <f>WEEKNUM(A159)-WEEKNUM(DATE(YEAR(A159),MONTH(A159),1))+1</f>
        <v>1</v>
      </c>
      <c r="AA159" s="126">
        <f>IF(V159="",0,V159/8)</f>
        <v>0.83333333333333337</v>
      </c>
      <c r="AB159" s="125">
        <f>IF(E159="02PZ03405",0,1)</f>
        <v>1</v>
      </c>
    </row>
    <row r="160" spans="1:28" x14ac:dyDescent="0.2">
      <c r="A160" s="37">
        <v>44761</v>
      </c>
      <c r="B160" s="31" t="s">
        <v>86</v>
      </c>
      <c r="C160" s="31" t="s">
        <v>90</v>
      </c>
      <c r="D160" s="38">
        <v>2</v>
      </c>
      <c r="E160" s="39" t="s">
        <v>43</v>
      </c>
      <c r="F160" s="33" t="str">
        <f>IF(E160="","",VLOOKUP(E160,'Base Datos'!$A$2:$M$150,2,FALSE))</f>
        <v>Mate Prisma PP</v>
      </c>
      <c r="G160" s="99">
        <v>51</v>
      </c>
      <c r="H160" s="102">
        <v>43.3</v>
      </c>
      <c r="I160" s="32">
        <v>1</v>
      </c>
      <c r="J160" s="32">
        <v>11</v>
      </c>
      <c r="K160" s="31">
        <v>5</v>
      </c>
      <c r="L160" s="39">
        <v>184706</v>
      </c>
      <c r="M160" s="33">
        <f>IF(E160="","",VLOOKUP(E160,'Base Datos'!$A$2:$M$150,3,FALSE))</f>
        <v>57.4</v>
      </c>
      <c r="N160" s="23">
        <f>IF(E160="","",VLOOKUP(E160,'Base Datos'!$A$2:$M$150,4,FALSE))</f>
        <v>63</v>
      </c>
      <c r="O160" s="23">
        <f>IF(E160="","",VLOOKUP(E160,'Base Datos'!$A$2:$M$150,5,FALSE))</f>
        <v>57.4</v>
      </c>
      <c r="P160" s="23">
        <f>IF(E160="","",VLOOKUP(E160,'Base Datos'!$A$2:$M$150,6,FALSE))</f>
        <v>502</v>
      </c>
      <c r="Q160" s="23">
        <f>IF(E160="","",VLOOKUP(E160,'Base Datos'!$A$2:$M$150,7,FALSE))</f>
        <v>1</v>
      </c>
      <c r="R160" s="40">
        <f>IF(E160="","",VLOOKUP(E160,'Base Datos'!$A$2:$M$150,8,FALSE))</f>
        <v>120</v>
      </c>
      <c r="S160" s="40" t="str">
        <f>IF(E160="","",VLOOKUP(E160,'Base Datos'!$A$2:$M$150,9,FALSE))</f>
        <v>PP</v>
      </c>
      <c r="T160" s="33">
        <f>IF(E160="","",(H160*I160)-(J160+K160))</f>
        <v>27.299999999999997</v>
      </c>
      <c r="U160" s="33">
        <f>IF(E160="","",(I160*R160)/1000)</f>
        <v>0.12</v>
      </c>
      <c r="V160" s="123">
        <f>IF(G160="",0,(G160*H160)/3600)</f>
        <v>0.61341666666666661</v>
      </c>
      <c r="W160" s="45">
        <f>IFERROR(IF(E160="","",(H160/P160)),0)</f>
        <v>8.625498007968127E-2</v>
      </c>
      <c r="X160" s="94">
        <f>WEEKDAY(A160,1)</f>
        <v>3</v>
      </c>
      <c r="Y160" s="120">
        <f>MONTH(A160)</f>
        <v>7</v>
      </c>
      <c r="Z160" s="125">
        <f>WEEKNUM(A160)-WEEKNUM(DATE(YEAR(A160),MONTH(A160),1))+1</f>
        <v>4</v>
      </c>
      <c r="AA160" s="126">
        <f>IF(V160="",0,V160/8)</f>
        <v>7.6677083333333326E-2</v>
      </c>
      <c r="AB160" s="125">
        <f>IF(E160="02PZ03405",0,1)</f>
        <v>1</v>
      </c>
    </row>
    <row r="161" spans="1:28" x14ac:dyDescent="0.2">
      <c r="A161" s="37">
        <v>44760</v>
      </c>
      <c r="B161" s="31" t="s">
        <v>86</v>
      </c>
      <c r="C161" s="31" t="s">
        <v>90</v>
      </c>
      <c r="D161" s="38">
        <v>2</v>
      </c>
      <c r="E161" s="39" t="s">
        <v>43</v>
      </c>
      <c r="F161" s="33" t="str">
        <f>IF(E161="","",VLOOKUP(E161,'Base Datos'!$A$2:$M$150,2,FALSE))</f>
        <v>Mate Prisma PP</v>
      </c>
      <c r="G161" s="99">
        <v>51</v>
      </c>
      <c r="H161" s="102">
        <v>300</v>
      </c>
      <c r="I161" s="32">
        <v>1</v>
      </c>
      <c r="J161" s="32">
        <v>20</v>
      </c>
      <c r="K161" s="31">
        <v>10</v>
      </c>
      <c r="L161" s="39">
        <v>184706</v>
      </c>
      <c r="M161" s="33">
        <f>IF(E161="","",VLOOKUP(E161,'Base Datos'!$A$2:$M$150,3,FALSE))</f>
        <v>57.4</v>
      </c>
      <c r="N161" s="23">
        <f>IF(E161="","",VLOOKUP(E161,'Base Datos'!$A$2:$M$150,4,FALSE))</f>
        <v>63</v>
      </c>
      <c r="O161" s="23">
        <f>IF(E161="","",VLOOKUP(E161,'Base Datos'!$A$2:$M$150,5,FALSE))</f>
        <v>57.4</v>
      </c>
      <c r="P161" s="23">
        <f>IF(E161="","",VLOOKUP(E161,'Base Datos'!$A$2:$M$150,6,FALSE))</f>
        <v>502</v>
      </c>
      <c r="Q161" s="23">
        <f>IF(E161="","",VLOOKUP(E161,'Base Datos'!$A$2:$M$150,7,FALSE))</f>
        <v>1</v>
      </c>
      <c r="R161" s="40">
        <f>IF(E161="","",VLOOKUP(E161,'Base Datos'!$A$2:$M$150,8,FALSE))</f>
        <v>120</v>
      </c>
      <c r="S161" s="40" t="str">
        <f>IF(E161="","",VLOOKUP(E161,'Base Datos'!$A$2:$M$150,9,FALSE))</f>
        <v>PP</v>
      </c>
      <c r="T161" s="33">
        <f>IF(E161="","",(H161*I161)-(J161+K161))</f>
        <v>270</v>
      </c>
      <c r="U161" s="33">
        <f>IF(E161="","",(I161*R161)/1000)</f>
        <v>0.12</v>
      </c>
      <c r="V161" s="123">
        <f>IF(G161="",0,(G161*H161)/3600)</f>
        <v>4.25</v>
      </c>
      <c r="W161" s="45">
        <f>IFERROR(IF(E161="","",(H161/P161)),0)</f>
        <v>0.59760956175298807</v>
      </c>
      <c r="X161" s="94">
        <f>WEEKDAY(A161,1)</f>
        <v>2</v>
      </c>
      <c r="Y161" s="120">
        <f>MONTH(A161)</f>
        <v>7</v>
      </c>
      <c r="Z161" s="125">
        <f>WEEKNUM(A161)-WEEKNUM(DATE(YEAR(A161),MONTH(A161),1))+1</f>
        <v>4</v>
      </c>
      <c r="AA161" s="126">
        <f>IF(V161="",0,V161/8)</f>
        <v>0.53125</v>
      </c>
      <c r="AB161" s="125">
        <f>IF(E161="02PZ03405",0,1)</f>
        <v>1</v>
      </c>
    </row>
    <row r="162" spans="1:28" x14ac:dyDescent="0.2">
      <c r="A162" s="101">
        <v>44748</v>
      </c>
      <c r="B162" s="96" t="s">
        <v>34</v>
      </c>
      <c r="C162" s="96" t="s">
        <v>88</v>
      </c>
      <c r="D162" s="38">
        <v>2</v>
      </c>
      <c r="E162" s="39" t="s">
        <v>43</v>
      </c>
      <c r="F162" s="95" t="str">
        <f>IF(E162="","",VLOOKUP(E162,'Base Datos'!$A$2:$M$150,2,FALSE))</f>
        <v>Mate Prisma PP</v>
      </c>
      <c r="G162" s="99">
        <v>52</v>
      </c>
      <c r="H162" s="99">
        <v>532</v>
      </c>
      <c r="I162" s="99">
        <v>1</v>
      </c>
      <c r="J162" s="99">
        <v>0</v>
      </c>
      <c r="K162" s="39">
        <v>7</v>
      </c>
      <c r="L162" s="39">
        <v>183471</v>
      </c>
      <c r="M162" s="97">
        <f>IF(E162="","",VLOOKUP(E162,'Base Datos'!$A$2:$M$150,3,FALSE))</f>
        <v>57.4</v>
      </c>
      <c r="N162" s="40">
        <f>IF(E162="","",VLOOKUP(E162,'Base Datos'!$A$2:$M$150,4,FALSE))</f>
        <v>63</v>
      </c>
      <c r="O162" s="40">
        <f>IF(E162="","",VLOOKUP(E162,'Base Datos'!$A$2:$M$150,5,FALSE))</f>
        <v>57.4</v>
      </c>
      <c r="P162" s="40">
        <f>IF(E162="","",VLOOKUP(E162,'Base Datos'!$A$2:$M$150,6,FALSE))</f>
        <v>502</v>
      </c>
      <c r="Q162" s="40">
        <f>IF(E162="","",VLOOKUP(E162,'Base Datos'!$A$2:$M$150,7,FALSE))</f>
        <v>1</v>
      </c>
      <c r="R162" s="40">
        <f>IF(E162="","",VLOOKUP(E162,'Base Datos'!$A$2:$M$150,8,FALSE))</f>
        <v>120</v>
      </c>
      <c r="S162" s="40" t="str">
        <f>IF(E162="","",VLOOKUP(E162,'Base Datos'!$A$2:$M$150,9,FALSE))</f>
        <v>PP</v>
      </c>
      <c r="T162" s="97">
        <f>IF(E162="","",(H162*I162)-(J162+K162))</f>
        <v>525</v>
      </c>
      <c r="U162" s="98">
        <f>IF(E162="","",(H162*R162)/1000)</f>
        <v>63.84</v>
      </c>
      <c r="V162" s="123">
        <f>IF(G162="",0,(G162*H162)/3600)</f>
        <v>7.6844444444444449</v>
      </c>
      <c r="W162" s="45">
        <f>IFERROR(IF(E162="","",(H162/P162)),0)</f>
        <v>1.0597609561752988</v>
      </c>
      <c r="X162" s="94">
        <f>WEEKDAY(A162,1)</f>
        <v>4</v>
      </c>
      <c r="Y162" s="120">
        <f>MONTH(A162)</f>
        <v>7</v>
      </c>
      <c r="Z162" s="125">
        <f>WEEKNUM(A162)-WEEKNUM(DATE(YEAR(A162),MONTH(A162),1))+1</f>
        <v>2</v>
      </c>
      <c r="AA162" s="126">
        <f>IF(V162="",0,V162/8)</f>
        <v>0.96055555555555561</v>
      </c>
      <c r="AB162" s="125">
        <f>IF(E162="02PZ03405",0,1)</f>
        <v>1</v>
      </c>
    </row>
    <row r="163" spans="1:28" x14ac:dyDescent="0.2">
      <c r="A163" s="148">
        <v>44746</v>
      </c>
      <c r="B163" s="96" t="s">
        <v>34</v>
      </c>
      <c r="C163" s="96" t="s">
        <v>88</v>
      </c>
      <c r="D163" s="38">
        <v>2</v>
      </c>
      <c r="E163" s="39" t="s">
        <v>43</v>
      </c>
      <c r="F163" s="95" t="str">
        <f>IF(E163="","",VLOOKUP(E163,'Base Datos'!$A$2:$M$150,2,FALSE))</f>
        <v>Mate Prisma PP</v>
      </c>
      <c r="G163" s="99">
        <v>48</v>
      </c>
      <c r="H163" s="99">
        <v>510</v>
      </c>
      <c r="I163" s="99">
        <v>1</v>
      </c>
      <c r="J163" s="99">
        <v>20</v>
      </c>
      <c r="K163" s="39">
        <v>5</v>
      </c>
      <c r="L163" s="39">
        <v>183471</v>
      </c>
      <c r="M163" s="97">
        <f>IF(E163="","",VLOOKUP(E163,'Base Datos'!$A$2:$M$150,3,FALSE))</f>
        <v>57.4</v>
      </c>
      <c r="N163" s="40">
        <f>IF(E163="","",VLOOKUP(E163,'Base Datos'!$A$2:$M$150,4,FALSE))</f>
        <v>63</v>
      </c>
      <c r="O163" s="40">
        <f>IF(E163="","",VLOOKUP(E163,'Base Datos'!$A$2:$M$150,5,FALSE))</f>
        <v>57.4</v>
      </c>
      <c r="P163" s="40">
        <f>IF(E163="","",VLOOKUP(E163,'Base Datos'!$A$2:$M$150,6,FALSE))</f>
        <v>502</v>
      </c>
      <c r="Q163" s="40">
        <f>IF(E163="","",VLOOKUP(E163,'Base Datos'!$A$2:$M$150,7,FALSE))</f>
        <v>1</v>
      </c>
      <c r="R163" s="40">
        <f>IF(E163="","",VLOOKUP(E163,'Base Datos'!$A$2:$M$150,8,FALSE))</f>
        <v>120</v>
      </c>
      <c r="S163" s="40" t="str">
        <f>IF(E163="","",VLOOKUP(E163,'Base Datos'!$A$2:$M$150,9,FALSE))</f>
        <v>PP</v>
      </c>
      <c r="T163" s="97">
        <f>IF(E163="","",(H163*I163)-(J163+K163))</f>
        <v>485</v>
      </c>
      <c r="U163" s="98">
        <f>IF(E163="","",(H163*R163)/1000)</f>
        <v>61.2</v>
      </c>
      <c r="V163" s="123">
        <f>IF(G163="",0,(G163*H163)/3600)</f>
        <v>6.8</v>
      </c>
      <c r="W163" s="45">
        <f>IFERROR(IF(E163="","",(H163/P163)),0)</f>
        <v>1.0159362549800797</v>
      </c>
      <c r="X163" s="94">
        <f>WEEKDAY(A163,1)</f>
        <v>2</v>
      </c>
      <c r="Y163" s="120">
        <f>MONTH(A163)</f>
        <v>7</v>
      </c>
      <c r="Z163" s="125">
        <f>WEEKNUM(A163)-WEEKNUM(DATE(YEAR(A163),MONTH(A163),1))+1</f>
        <v>2</v>
      </c>
      <c r="AA163" s="126">
        <f>IF(V163="",0,V163/8)</f>
        <v>0.85</v>
      </c>
      <c r="AB163" s="125">
        <f>IF(E163="02PZ03405",0,1)</f>
        <v>1</v>
      </c>
    </row>
    <row r="164" spans="1:28" x14ac:dyDescent="0.2">
      <c r="A164" s="148">
        <v>44743</v>
      </c>
      <c r="B164" s="96" t="s">
        <v>34</v>
      </c>
      <c r="C164" s="96" t="s">
        <v>88</v>
      </c>
      <c r="D164" s="38">
        <v>2</v>
      </c>
      <c r="E164" s="39" t="s">
        <v>43</v>
      </c>
      <c r="F164" s="95" t="str">
        <f>IF(E164="","",VLOOKUP(E164,'Base Datos'!$A$2:$M$150,2,FALSE))</f>
        <v>Mate Prisma PP</v>
      </c>
      <c r="G164" s="99">
        <v>48</v>
      </c>
      <c r="H164" s="99">
        <v>472</v>
      </c>
      <c r="I164" s="99">
        <v>1</v>
      </c>
      <c r="J164" s="99">
        <v>20</v>
      </c>
      <c r="K164" s="39">
        <v>5</v>
      </c>
      <c r="L164" s="39">
        <v>184119</v>
      </c>
      <c r="M164" s="97">
        <f>IF(E164="","",VLOOKUP(E164,'Base Datos'!$A$2:$M$150,3,FALSE))</f>
        <v>57.4</v>
      </c>
      <c r="N164" s="40">
        <f>IF(E164="","",VLOOKUP(E164,'Base Datos'!$A$2:$M$150,4,FALSE))</f>
        <v>63</v>
      </c>
      <c r="O164" s="40">
        <f>IF(E164="","",VLOOKUP(E164,'Base Datos'!$A$2:$M$150,5,FALSE))</f>
        <v>57.4</v>
      </c>
      <c r="P164" s="40">
        <f>IF(E164="","",VLOOKUP(E164,'Base Datos'!$A$2:$M$150,6,FALSE))</f>
        <v>502</v>
      </c>
      <c r="Q164" s="40">
        <f>IF(E164="","",VLOOKUP(E164,'Base Datos'!$A$2:$M$150,7,FALSE))</f>
        <v>1</v>
      </c>
      <c r="R164" s="40">
        <f>IF(E164="","",VLOOKUP(E164,'Base Datos'!$A$2:$M$150,8,FALSE))</f>
        <v>120</v>
      </c>
      <c r="S164" s="40" t="str">
        <f>IF(E164="","",VLOOKUP(E164,'Base Datos'!$A$2:$M$150,9,FALSE))</f>
        <v>PP</v>
      </c>
      <c r="T164" s="97">
        <f>IF(E164="","",(H164*I164)-(J164+K164))</f>
        <v>447</v>
      </c>
      <c r="U164" s="98">
        <f>IF(E164="","",(H164*R164)/1000)</f>
        <v>56.64</v>
      </c>
      <c r="V164" s="123">
        <f>IF(G164="",0,(G164*H164)/3600)</f>
        <v>6.293333333333333</v>
      </c>
      <c r="W164" s="45">
        <f>IFERROR(IF(E164="","",(H164/P164)),0)</f>
        <v>0.94023904382470125</v>
      </c>
      <c r="X164" s="94">
        <f>WEEKDAY(A164,1)</f>
        <v>6</v>
      </c>
      <c r="Y164" s="120">
        <f>MONTH(A164)</f>
        <v>7</v>
      </c>
      <c r="Z164" s="125">
        <f>WEEKNUM(A164)-WEEKNUM(DATE(YEAR(A164),MONTH(A164),1))+1</f>
        <v>1</v>
      </c>
      <c r="AA164" s="126">
        <f>IF(V164="",0,V164/8)</f>
        <v>0.78666666666666663</v>
      </c>
      <c r="AB164" s="125">
        <f>IF(E164="02PZ03405",0,1)</f>
        <v>1</v>
      </c>
    </row>
    <row r="165" spans="1:28" x14ac:dyDescent="0.2">
      <c r="A165" s="37">
        <v>44760</v>
      </c>
      <c r="B165" s="31" t="s">
        <v>87</v>
      </c>
      <c r="C165" s="31" t="s">
        <v>93</v>
      </c>
      <c r="D165" s="38">
        <v>2</v>
      </c>
      <c r="E165" s="39" t="s">
        <v>43</v>
      </c>
      <c r="F165" s="33" t="str">
        <f>IF(E165="","",VLOOKUP(E165,'Base Datos'!$A$2:$M$150,2,FALSE))</f>
        <v>Mate Prisma PP</v>
      </c>
      <c r="G165" s="99">
        <v>40</v>
      </c>
      <c r="H165" s="102">
        <v>540</v>
      </c>
      <c r="I165" s="32">
        <v>1</v>
      </c>
      <c r="J165" s="32">
        <v>6</v>
      </c>
      <c r="K165" s="31">
        <v>20</v>
      </c>
      <c r="L165" s="39">
        <v>184706</v>
      </c>
      <c r="M165" s="33">
        <f>IF(E165="","",VLOOKUP(E165,'Base Datos'!$A$2:$M$150,3,FALSE))</f>
        <v>57.4</v>
      </c>
      <c r="N165" s="23">
        <f>IF(E165="","",VLOOKUP(E165,'Base Datos'!$A$2:$M$150,4,FALSE))</f>
        <v>63</v>
      </c>
      <c r="O165" s="23">
        <f>IF(E165="","",VLOOKUP(E165,'Base Datos'!$A$2:$M$150,5,FALSE))</f>
        <v>57.4</v>
      </c>
      <c r="P165" s="23">
        <f>IF(E165="","",VLOOKUP(E165,'Base Datos'!$A$2:$M$150,6,FALSE))</f>
        <v>502</v>
      </c>
      <c r="Q165" s="23">
        <f>IF(E165="","",VLOOKUP(E165,'Base Datos'!$A$2:$M$150,7,FALSE))</f>
        <v>1</v>
      </c>
      <c r="R165" s="40">
        <f>IF(E165="","",VLOOKUP(E165,'Base Datos'!$A$2:$M$150,8,FALSE))</f>
        <v>120</v>
      </c>
      <c r="S165" s="40" t="str">
        <f>IF(E165="","",VLOOKUP(E165,'Base Datos'!$A$2:$M$150,9,FALSE))</f>
        <v>PP</v>
      </c>
      <c r="T165" s="33">
        <f>IF(E165="","",(H165*I165)-(J165+K165))</f>
        <v>514</v>
      </c>
      <c r="U165" s="33">
        <f>IF(E165="","",(I165*R165)/1000)</f>
        <v>0.12</v>
      </c>
      <c r="V165" s="123">
        <f>IF(G165="",0,(G165*H165)/3600)</f>
        <v>6</v>
      </c>
      <c r="W165" s="45">
        <f>IFERROR(IF(E165="","",(H165/P165)),0)</f>
        <v>1.0756972111553784</v>
      </c>
      <c r="X165" s="94">
        <f>WEEKDAY(A165,1)</f>
        <v>2</v>
      </c>
      <c r="Y165" s="120">
        <f>MONTH(A165)</f>
        <v>7</v>
      </c>
      <c r="Z165" s="125">
        <f>WEEKNUM(A165)-WEEKNUM(DATE(YEAR(A165),MONTH(A165),1))+1</f>
        <v>4</v>
      </c>
      <c r="AA165" s="126">
        <f>IF(V165="",0,V165/8)</f>
        <v>0.75</v>
      </c>
      <c r="AB165" s="125">
        <f>IF(E165="02PZ03405",0,1)</f>
        <v>1</v>
      </c>
    </row>
    <row r="166" spans="1:28" x14ac:dyDescent="0.2">
      <c r="A166" s="37">
        <v>44757</v>
      </c>
      <c r="B166" s="119" t="s">
        <v>87</v>
      </c>
      <c r="C166" s="31" t="s">
        <v>93</v>
      </c>
      <c r="D166" s="118">
        <v>2</v>
      </c>
      <c r="E166" s="39" t="s">
        <v>43</v>
      </c>
      <c r="F166" s="33" t="str">
        <f>IF(E166="","",VLOOKUP(E166,'Base Datos'!$A$2:$M$150,2,FALSE))</f>
        <v>Mate Prisma PP</v>
      </c>
      <c r="G166" s="99">
        <v>38</v>
      </c>
      <c r="H166" s="102">
        <v>5</v>
      </c>
      <c r="I166" s="32">
        <v>1</v>
      </c>
      <c r="J166" s="32">
        <v>2</v>
      </c>
      <c r="K166" s="31">
        <v>1</v>
      </c>
      <c r="L166" s="39">
        <v>184706</v>
      </c>
      <c r="M166" s="33">
        <f>IF(E166="","",VLOOKUP(E166,'Base Datos'!$A$2:$M$150,3,FALSE))</f>
        <v>57.4</v>
      </c>
      <c r="N166" s="23">
        <f>IF(E166="","",VLOOKUP(E166,'Base Datos'!$A$2:$M$150,4,FALSE))</f>
        <v>63</v>
      </c>
      <c r="O166" s="23">
        <f>IF(E166="","",VLOOKUP(E166,'Base Datos'!$A$2:$M$150,5,FALSE))</f>
        <v>57.4</v>
      </c>
      <c r="P166" s="23">
        <f>IF(E166="","",VLOOKUP(E166,'Base Datos'!$A$2:$M$150,6,FALSE))</f>
        <v>502</v>
      </c>
      <c r="Q166" s="23">
        <f>IF(E166="","",VLOOKUP(E166,'Base Datos'!$A$2:$M$150,7,FALSE))</f>
        <v>1</v>
      </c>
      <c r="R166" s="40">
        <f>IF(E166="","",VLOOKUP(E166,'Base Datos'!$A$2:$M$150,8,FALSE))</f>
        <v>120</v>
      </c>
      <c r="S166" s="40" t="str">
        <f>IF(E166="","",VLOOKUP(E166,'Base Datos'!$A$2:$M$150,9,FALSE))</f>
        <v>PP</v>
      </c>
      <c r="T166" s="33">
        <f>IF(E166="","",(H166*I166)-(J166+K166))</f>
        <v>2</v>
      </c>
      <c r="U166" s="33">
        <f>IF(E166="","",(I166*R166)/1000)</f>
        <v>0.12</v>
      </c>
      <c r="V166" s="123">
        <f>IF(G166="",0,(G166*H166)/3600)</f>
        <v>5.2777777777777778E-2</v>
      </c>
      <c r="W166" s="45">
        <f>IFERROR(IF(E166="","",(H166/P166)),0)</f>
        <v>9.9601593625498006E-3</v>
      </c>
      <c r="X166" s="94">
        <f>WEEKDAY(A166,1)</f>
        <v>6</v>
      </c>
      <c r="Y166" s="120">
        <f>MONTH(A166)</f>
        <v>7</v>
      </c>
      <c r="Z166" s="125">
        <f>WEEKNUM(A166)-WEEKNUM(DATE(YEAR(A166),MONTH(A166),1))+1</f>
        <v>3</v>
      </c>
      <c r="AA166" s="126">
        <f>IF(V166="",0,V166/8)</f>
        <v>6.5972222222222222E-3</v>
      </c>
      <c r="AB166" s="125">
        <f>IF(E166="02PZ03405",0,1)</f>
        <v>1</v>
      </c>
    </row>
    <row r="167" spans="1:28" x14ac:dyDescent="0.2">
      <c r="A167" s="148">
        <v>44746</v>
      </c>
      <c r="B167" s="96" t="s">
        <v>87</v>
      </c>
      <c r="C167" s="96" t="s">
        <v>93</v>
      </c>
      <c r="D167" s="38">
        <v>2</v>
      </c>
      <c r="E167" s="39" t="s">
        <v>43</v>
      </c>
      <c r="F167" s="95" t="str">
        <f>IF(E167="","",VLOOKUP(E167,'Base Datos'!$A$2:$M$150,2,FALSE))</f>
        <v>Mate Prisma PP</v>
      </c>
      <c r="G167" s="99">
        <v>48</v>
      </c>
      <c r="H167" s="99">
        <v>549</v>
      </c>
      <c r="I167" s="99">
        <v>1</v>
      </c>
      <c r="J167" s="99">
        <v>15</v>
      </c>
      <c r="K167" s="39">
        <v>5</v>
      </c>
      <c r="L167" s="39">
        <v>183471</v>
      </c>
      <c r="M167" s="97">
        <f>IF(E167="","",VLOOKUP(E167,'Base Datos'!$A$2:$M$150,3,FALSE))</f>
        <v>57.4</v>
      </c>
      <c r="N167" s="40">
        <f>IF(E167="","",VLOOKUP(E167,'Base Datos'!$A$2:$M$150,4,FALSE))</f>
        <v>63</v>
      </c>
      <c r="O167" s="40">
        <f>IF(E167="","",VLOOKUP(E167,'Base Datos'!$A$2:$M$150,5,FALSE))</f>
        <v>57.4</v>
      </c>
      <c r="P167" s="40">
        <f>IF(E167="","",VLOOKUP(E167,'Base Datos'!$A$2:$M$150,6,FALSE))</f>
        <v>502</v>
      </c>
      <c r="Q167" s="40">
        <f>IF(E167="","",VLOOKUP(E167,'Base Datos'!$A$2:$M$150,7,FALSE))</f>
        <v>1</v>
      </c>
      <c r="R167" s="40">
        <f>IF(E167="","",VLOOKUP(E167,'Base Datos'!$A$2:$M$150,8,FALSE))</f>
        <v>120</v>
      </c>
      <c r="S167" s="40" t="str">
        <f>IF(E167="","",VLOOKUP(E167,'Base Datos'!$A$2:$M$150,9,FALSE))</f>
        <v>PP</v>
      </c>
      <c r="T167" s="97">
        <f>IF(E167="","",(H167*I167)-(J167+K167))</f>
        <v>529</v>
      </c>
      <c r="U167" s="98">
        <f>IF(E167="","",(H167*R167)/1000)</f>
        <v>65.88</v>
      </c>
      <c r="V167" s="123">
        <f>IF(G167="",0,(G167*H167)/3600)</f>
        <v>7.32</v>
      </c>
      <c r="W167" s="45">
        <f>IFERROR(IF(E167="","",(H167/P167)),0)</f>
        <v>1.093625498007968</v>
      </c>
      <c r="X167" s="94">
        <f>WEEKDAY(A167,1)</f>
        <v>2</v>
      </c>
      <c r="Y167" s="120">
        <f>MONTH(A167)</f>
        <v>7</v>
      </c>
      <c r="Z167" s="125">
        <f>WEEKNUM(A167)-WEEKNUM(DATE(YEAR(A167),MONTH(A167),1))+1</f>
        <v>2</v>
      </c>
      <c r="AA167" s="126">
        <f>IF(V167="",0,V167/8)</f>
        <v>0.91500000000000004</v>
      </c>
      <c r="AB167" s="125">
        <f>IF(E167="02PZ03405",0,1)</f>
        <v>1</v>
      </c>
    </row>
    <row r="168" spans="1:28" x14ac:dyDescent="0.2">
      <c r="A168" s="148">
        <v>44743</v>
      </c>
      <c r="B168" s="96" t="s">
        <v>87</v>
      </c>
      <c r="C168" s="96" t="s">
        <v>93</v>
      </c>
      <c r="D168" s="38">
        <v>2</v>
      </c>
      <c r="E168" s="39" t="s">
        <v>43</v>
      </c>
      <c r="F168" s="95" t="str">
        <f>IF(E168="","",VLOOKUP(E168,'Base Datos'!$A$2:$M$150,2,FALSE))</f>
        <v>Mate Prisma PP</v>
      </c>
      <c r="G168" s="99">
        <v>48</v>
      </c>
      <c r="H168" s="99">
        <v>500</v>
      </c>
      <c r="I168" s="99">
        <v>1</v>
      </c>
      <c r="J168" s="99">
        <v>20</v>
      </c>
      <c r="K168" s="39">
        <v>5</v>
      </c>
      <c r="L168" s="39">
        <v>184119</v>
      </c>
      <c r="M168" s="97">
        <f>IF(E168="","",VLOOKUP(E168,'Base Datos'!$A$2:$M$150,3,FALSE))</f>
        <v>57.4</v>
      </c>
      <c r="N168" s="40">
        <f>IF(E168="","",VLOOKUP(E168,'Base Datos'!$A$2:$M$150,4,FALSE))</f>
        <v>63</v>
      </c>
      <c r="O168" s="40">
        <f>IF(E168="","",VLOOKUP(E168,'Base Datos'!$A$2:$M$150,5,FALSE))</f>
        <v>57.4</v>
      </c>
      <c r="P168" s="40">
        <f>IF(E168="","",VLOOKUP(E168,'Base Datos'!$A$2:$M$150,6,FALSE))</f>
        <v>502</v>
      </c>
      <c r="Q168" s="40">
        <f>IF(E168="","",VLOOKUP(E168,'Base Datos'!$A$2:$M$150,7,FALSE))</f>
        <v>1</v>
      </c>
      <c r="R168" s="40">
        <f>IF(E168="","",VLOOKUP(E168,'Base Datos'!$A$2:$M$150,8,FALSE))</f>
        <v>120</v>
      </c>
      <c r="S168" s="40" t="str">
        <f>IF(E168="","",VLOOKUP(E168,'Base Datos'!$A$2:$M$150,9,FALSE))</f>
        <v>PP</v>
      </c>
      <c r="T168" s="97">
        <f>IF(E168="","",(H168*I168)-(J168+K168))</f>
        <v>475</v>
      </c>
      <c r="U168" s="98">
        <f>IF(E168="","",(H168*R168)/1000)</f>
        <v>60</v>
      </c>
      <c r="V168" s="123">
        <f>IF(G168="",0,(G168*H168)/3600)</f>
        <v>6.666666666666667</v>
      </c>
      <c r="W168" s="45">
        <f>IFERROR(IF(E168="","",(H168/P168)),0)</f>
        <v>0.99601593625498008</v>
      </c>
      <c r="X168" s="94">
        <f>WEEKDAY(A168,1)</f>
        <v>6</v>
      </c>
      <c r="Y168" s="120">
        <f>MONTH(A168)</f>
        <v>7</v>
      </c>
      <c r="Z168" s="125">
        <f>WEEKNUM(A168)-WEEKNUM(DATE(YEAR(A168),MONTH(A168),1))+1</f>
        <v>1</v>
      </c>
      <c r="AA168" s="126">
        <f>IF(V168="",0,V168/8)</f>
        <v>0.83333333333333337</v>
      </c>
      <c r="AB168" s="125">
        <f>IF(E168="02PZ03405",0,1)</f>
        <v>1</v>
      </c>
    </row>
    <row r="169" spans="1:28" x14ac:dyDescent="0.2">
      <c r="A169" s="37">
        <v>44747</v>
      </c>
      <c r="B169" s="119" t="s">
        <v>87</v>
      </c>
      <c r="C169" s="31" t="s">
        <v>92</v>
      </c>
      <c r="D169" s="38">
        <v>3</v>
      </c>
      <c r="E169" s="39" t="s">
        <v>54</v>
      </c>
      <c r="F169" s="33" t="str">
        <f>IF(E169="","",VLOOKUP(E169,'Base Datos'!$A$2:$M$150,2,FALSE))</f>
        <v>Mate Marwal</v>
      </c>
      <c r="G169" s="99">
        <v>53</v>
      </c>
      <c r="H169" s="102">
        <v>520</v>
      </c>
      <c r="I169" s="32">
        <v>1</v>
      </c>
      <c r="J169" s="32"/>
      <c r="K169" s="31"/>
      <c r="L169" s="39">
        <v>183471</v>
      </c>
      <c r="M169" s="33">
        <f>IF(E169="","",VLOOKUP(E169,'Base Datos'!$A$2:$M$150,3,FALSE))</f>
        <v>48</v>
      </c>
      <c r="N169" s="23">
        <f>IF(E169="","",VLOOKUP(E169,'Base Datos'!$A$2:$M$150,4,FALSE))</f>
        <v>75</v>
      </c>
      <c r="O169" s="23">
        <f>IF(E169="","",VLOOKUP(E169,'Base Datos'!$A$2:$M$150,5,FALSE))</f>
        <v>48</v>
      </c>
      <c r="P169" s="23">
        <f>IF(E169="","",VLOOKUP(E169,'Base Datos'!$A$2:$M$150,6,FALSE))</f>
        <v>600</v>
      </c>
      <c r="Q169" s="23">
        <f>IF(E169="","",VLOOKUP(E169,'Base Datos'!$A$2:$M$150,7,FALSE))</f>
        <v>1</v>
      </c>
      <c r="R169" s="40">
        <f>IF(E169="","",VLOOKUP(E169,'Base Datos'!$A$2:$M$150,8,FALSE))</f>
        <v>115</v>
      </c>
      <c r="S169" s="40" t="str">
        <f>IF(E169="","",VLOOKUP(E169,'Base Datos'!$A$2:$M$150,9,FALSE))</f>
        <v>PP</v>
      </c>
      <c r="T169" s="33">
        <f>IF(E169="","",(H169*I169)-(J169+K169))</f>
        <v>520</v>
      </c>
      <c r="U169" s="33">
        <f>IF(E169="","",(I169*R169)/1000)</f>
        <v>0.115</v>
      </c>
      <c r="V169" s="123">
        <f>IF(G169="",0,(G169*H169)/3600)</f>
        <v>7.6555555555555559</v>
      </c>
      <c r="W169" s="45">
        <f>IFERROR(IF(E169="","",(H169/P169)),0)</f>
        <v>0.8666666666666667</v>
      </c>
      <c r="X169" s="94">
        <f>WEEKDAY(A169,1)</f>
        <v>3</v>
      </c>
      <c r="Y169" s="120">
        <f>MONTH(A169)</f>
        <v>7</v>
      </c>
      <c r="Z169" s="125">
        <f>WEEKNUM(A169)-WEEKNUM(DATE(YEAR(A169),MONTH(A169),1))+1</f>
        <v>2</v>
      </c>
      <c r="AA169" s="126">
        <f>IF(V169="",0,V169/8)</f>
        <v>0.95694444444444449</v>
      </c>
      <c r="AB169" s="125">
        <f>IF(E169="02PZ03405",0,1)</f>
        <v>1</v>
      </c>
    </row>
    <row r="170" spans="1:28" x14ac:dyDescent="0.2">
      <c r="A170" s="37">
        <v>44764</v>
      </c>
      <c r="B170" s="31" t="s">
        <v>34</v>
      </c>
      <c r="C170" s="31" t="s">
        <v>89</v>
      </c>
      <c r="D170" s="38">
        <v>2</v>
      </c>
      <c r="E170" s="39" t="s">
        <v>54</v>
      </c>
      <c r="F170" s="33" t="str">
        <f>IF(E170="","",VLOOKUP(E170,'Base Datos'!$A$2:$M$150,2,FALSE))</f>
        <v>Mate Marwal</v>
      </c>
      <c r="G170" s="99">
        <v>50.4</v>
      </c>
      <c r="H170" s="102">
        <v>415</v>
      </c>
      <c r="I170" s="32">
        <v>1</v>
      </c>
      <c r="J170" s="32"/>
      <c r="K170" s="31"/>
      <c r="L170" s="39">
        <v>184706</v>
      </c>
      <c r="M170" s="33">
        <f>IF(E170="","",VLOOKUP(E170,'Base Datos'!$A$2:$M$150,3,FALSE))</f>
        <v>48</v>
      </c>
      <c r="N170" s="23">
        <f>IF(E170="","",VLOOKUP(E170,'Base Datos'!$A$2:$M$150,4,FALSE))</f>
        <v>75</v>
      </c>
      <c r="O170" s="23">
        <f>IF(E170="","",VLOOKUP(E170,'Base Datos'!$A$2:$M$150,5,FALSE))</f>
        <v>48</v>
      </c>
      <c r="P170" s="23">
        <f>IF(E170="","",VLOOKUP(E170,'Base Datos'!$A$2:$M$150,6,FALSE))</f>
        <v>600</v>
      </c>
      <c r="Q170" s="23">
        <f>IF(E170="","",VLOOKUP(E170,'Base Datos'!$A$2:$M$150,7,FALSE))</f>
        <v>1</v>
      </c>
      <c r="R170" s="40">
        <f>IF(E170="","",VLOOKUP(E170,'Base Datos'!$A$2:$M$150,8,FALSE))</f>
        <v>115</v>
      </c>
      <c r="S170" s="40" t="str">
        <f>IF(E170="","",VLOOKUP(E170,'Base Datos'!$A$2:$M$150,9,FALSE))</f>
        <v>PP</v>
      </c>
      <c r="T170" s="33">
        <f>IF(E170="","",(H170*I170)-(J170+K170))</f>
        <v>415</v>
      </c>
      <c r="U170" s="33">
        <f>IF(E170="","",(I170*R170)/1000)</f>
        <v>0.115</v>
      </c>
      <c r="V170" s="123">
        <f>IF(G170="",0,(G170*H170)/3600)</f>
        <v>5.81</v>
      </c>
      <c r="W170" s="45">
        <f>IFERROR(IF(E170="","",(H170/P170)),0)</f>
        <v>0.69166666666666665</v>
      </c>
      <c r="X170" s="94">
        <f>WEEKDAY(A170,1)</f>
        <v>6</v>
      </c>
      <c r="Y170" s="120">
        <f>MONTH(A170)</f>
        <v>7</v>
      </c>
      <c r="Z170" s="125">
        <f>WEEKNUM(A170)-WEEKNUM(DATE(YEAR(A170),MONTH(A170),1))+1</f>
        <v>4</v>
      </c>
      <c r="AA170" s="126">
        <f>IF(V170="",0,V170/8)</f>
        <v>0.72624999999999995</v>
      </c>
      <c r="AB170" s="125">
        <f>IF(E170="02PZ03405",0,1)</f>
        <v>1</v>
      </c>
    </row>
    <row r="171" spans="1:28" ht="11.25" customHeight="1" x14ac:dyDescent="0.2">
      <c r="A171" s="101">
        <v>44749</v>
      </c>
      <c r="B171" s="31" t="s">
        <v>34</v>
      </c>
      <c r="C171" s="31" t="s">
        <v>89</v>
      </c>
      <c r="D171" s="38">
        <v>3</v>
      </c>
      <c r="E171" s="39" t="s">
        <v>54</v>
      </c>
      <c r="F171" s="33" t="str">
        <f>IF(E171="","",VLOOKUP(E171,'Base Datos'!$A$2:$M$150,2,FALSE))</f>
        <v>Mate Marwal</v>
      </c>
      <c r="G171" s="32">
        <v>53.7</v>
      </c>
      <c r="H171" s="32">
        <v>332</v>
      </c>
      <c r="I171" s="32">
        <v>1</v>
      </c>
      <c r="J171" s="32">
        <v>6</v>
      </c>
      <c r="K171" s="31">
        <v>3</v>
      </c>
      <c r="L171" s="39">
        <v>183471</v>
      </c>
      <c r="M171" s="33">
        <f>IF(E171="","",VLOOKUP(E171,'Base Datos'!$A$2:$M$150,3,FALSE))</f>
        <v>48</v>
      </c>
      <c r="N171" s="23">
        <f>IF(E171="","",VLOOKUP(E171,'Base Datos'!$A$2:$M$150,4,FALSE))</f>
        <v>75</v>
      </c>
      <c r="O171" s="23">
        <f>IF(E171="","",VLOOKUP(E171,'Base Datos'!$A$2:$M$150,5,FALSE))</f>
        <v>48</v>
      </c>
      <c r="P171" s="23">
        <f>IF(E171="","",VLOOKUP(E171,'Base Datos'!$A$2:$M$150,6,FALSE))</f>
        <v>600</v>
      </c>
      <c r="Q171" s="23">
        <f>IF(E171="","",VLOOKUP(E171,'Base Datos'!$A$2:$M$150,7,FALSE))</f>
        <v>1</v>
      </c>
      <c r="R171" s="40">
        <f>IF(E171="","",VLOOKUP(E171,'Base Datos'!$A$2:$M$150,8,FALSE))</f>
        <v>115</v>
      </c>
      <c r="S171" s="40" t="str">
        <f>IF(E171="","",VLOOKUP(E171,'Base Datos'!$A$2:$M$150,9,FALSE))</f>
        <v>PP</v>
      </c>
      <c r="T171" s="33">
        <f>IF(E171="","",(H171*I171)-(J171+K171))</f>
        <v>323</v>
      </c>
      <c r="U171" s="33">
        <f>IF(E171="","",(H171*R171)/1000)</f>
        <v>38.18</v>
      </c>
      <c r="V171" s="123">
        <f>IF(G171="",0,(G171*H171)/3600)</f>
        <v>4.9523333333333337</v>
      </c>
      <c r="W171" s="45">
        <f>IFERROR(IF(E171="","",(H171/P171)),0)</f>
        <v>0.55333333333333334</v>
      </c>
      <c r="X171" s="94">
        <f>WEEKDAY(A171,1)</f>
        <v>5</v>
      </c>
      <c r="Y171" s="120">
        <f>MONTH(A171)</f>
        <v>7</v>
      </c>
      <c r="Z171" s="125">
        <f>WEEKNUM(A171)-WEEKNUM(DATE(YEAR(A171),MONTH(A171),1))+1</f>
        <v>2</v>
      </c>
      <c r="AA171" s="126">
        <f>IF(V171="",0,V171/8)</f>
        <v>0.61904166666666671</v>
      </c>
      <c r="AB171" s="125">
        <f>IF(E171="02PZ03405",0,1)</f>
        <v>1</v>
      </c>
    </row>
    <row r="172" spans="1:28" x14ac:dyDescent="0.2">
      <c r="A172" s="148">
        <v>44746</v>
      </c>
      <c r="B172" s="96" t="s">
        <v>34</v>
      </c>
      <c r="C172" s="96" t="s">
        <v>89</v>
      </c>
      <c r="D172" s="38">
        <v>3</v>
      </c>
      <c r="E172" s="39" t="s">
        <v>54</v>
      </c>
      <c r="F172" s="95" t="str">
        <f>IF(E172="","",VLOOKUP(E172,'Base Datos'!$A$2:$M$150,2,FALSE))</f>
        <v>Mate Marwal</v>
      </c>
      <c r="G172" s="99">
        <v>53</v>
      </c>
      <c r="H172" s="99">
        <v>455</v>
      </c>
      <c r="I172" s="99">
        <v>1</v>
      </c>
      <c r="J172" s="99">
        <v>6</v>
      </c>
      <c r="K172" s="39">
        <v>3</v>
      </c>
      <c r="L172" s="39">
        <v>183471</v>
      </c>
      <c r="M172" s="97">
        <f>IF(E172="","",VLOOKUP(E172,'Base Datos'!$A$2:$M$150,3,FALSE))</f>
        <v>48</v>
      </c>
      <c r="N172" s="40">
        <f>IF(E172="","",VLOOKUP(E172,'Base Datos'!$A$2:$M$150,4,FALSE))</f>
        <v>75</v>
      </c>
      <c r="O172" s="40">
        <f>IF(E172="","",VLOOKUP(E172,'Base Datos'!$A$2:$M$150,5,FALSE))</f>
        <v>48</v>
      </c>
      <c r="P172" s="40">
        <f>IF(E172="","",VLOOKUP(E172,'Base Datos'!$A$2:$M$150,6,FALSE))</f>
        <v>600</v>
      </c>
      <c r="Q172" s="40">
        <f>IF(E172="","",VLOOKUP(E172,'Base Datos'!$A$2:$M$150,7,FALSE))</f>
        <v>1</v>
      </c>
      <c r="R172" s="40">
        <f>IF(E172="","",VLOOKUP(E172,'Base Datos'!$A$2:$M$150,8,FALSE))</f>
        <v>115</v>
      </c>
      <c r="S172" s="40" t="str">
        <f>IF(E172="","",VLOOKUP(E172,'Base Datos'!$A$2:$M$150,9,FALSE))</f>
        <v>PP</v>
      </c>
      <c r="T172" s="97">
        <f>IF(E172="","",(H172*I172)-(J172+K172))</f>
        <v>446</v>
      </c>
      <c r="U172" s="98">
        <f>IF(E172="","",(H172*R172)/1000)</f>
        <v>52.325000000000003</v>
      </c>
      <c r="V172" s="123">
        <f>IF(G172="",0,(G172*H172)/3600)</f>
        <v>6.6986111111111111</v>
      </c>
      <c r="W172" s="45">
        <f>IFERROR(IF(E172="","",(H172/P172)),0)</f>
        <v>0.7583333333333333</v>
      </c>
      <c r="X172" s="94">
        <f>WEEKDAY(A172,1)</f>
        <v>2</v>
      </c>
      <c r="Y172" s="120">
        <f>MONTH(A172)</f>
        <v>7</v>
      </c>
      <c r="Z172" s="125">
        <f>WEEKNUM(A172)-WEEKNUM(DATE(YEAR(A172),MONTH(A172),1))+1</f>
        <v>2</v>
      </c>
      <c r="AA172" s="126">
        <f>IF(V172="",0,V172/8)</f>
        <v>0.83732638888888888</v>
      </c>
      <c r="AB172" s="125">
        <f>IF(E172="02PZ03405",0,1)</f>
        <v>1</v>
      </c>
    </row>
    <row r="173" spans="1:28" x14ac:dyDescent="0.2">
      <c r="A173" s="148">
        <v>44743</v>
      </c>
      <c r="B173" s="96" t="s">
        <v>34</v>
      </c>
      <c r="C173" s="96" t="s">
        <v>89</v>
      </c>
      <c r="D173" s="38">
        <v>3</v>
      </c>
      <c r="E173" s="39" t="s">
        <v>54</v>
      </c>
      <c r="F173" s="95" t="str">
        <f>IF(E173="","",VLOOKUP(E173,'Base Datos'!$A$2:$M$150,2,FALSE))</f>
        <v>Mate Marwal</v>
      </c>
      <c r="G173" s="99">
        <v>47</v>
      </c>
      <c r="H173" s="99">
        <v>609</v>
      </c>
      <c r="I173" s="99">
        <v>1</v>
      </c>
      <c r="J173" s="99">
        <v>6</v>
      </c>
      <c r="K173" s="39">
        <v>3</v>
      </c>
      <c r="L173" s="39">
        <v>184119</v>
      </c>
      <c r="M173" s="97">
        <f>IF(E173="","",VLOOKUP(E173,'Base Datos'!$A$2:$M$150,3,FALSE))</f>
        <v>48</v>
      </c>
      <c r="N173" s="40">
        <f>IF(E173="","",VLOOKUP(E173,'Base Datos'!$A$2:$M$150,4,FALSE))</f>
        <v>75</v>
      </c>
      <c r="O173" s="40">
        <f>IF(E173="","",VLOOKUP(E173,'Base Datos'!$A$2:$M$150,5,FALSE))</f>
        <v>48</v>
      </c>
      <c r="P173" s="40">
        <f>IF(E173="","",VLOOKUP(E173,'Base Datos'!$A$2:$M$150,6,FALSE))</f>
        <v>600</v>
      </c>
      <c r="Q173" s="40">
        <f>IF(E173="","",VLOOKUP(E173,'Base Datos'!$A$2:$M$150,7,FALSE))</f>
        <v>1</v>
      </c>
      <c r="R173" s="40">
        <f>IF(E173="","",VLOOKUP(E173,'Base Datos'!$A$2:$M$150,8,FALSE))</f>
        <v>115</v>
      </c>
      <c r="S173" s="40" t="str">
        <f>IF(E173="","",VLOOKUP(E173,'Base Datos'!$A$2:$M$150,9,FALSE))</f>
        <v>PP</v>
      </c>
      <c r="T173" s="97">
        <f>IF(E173="","",(H173*I173)-(J173+K173))</f>
        <v>600</v>
      </c>
      <c r="U173" s="98">
        <f>IF(E173="","",(H173*R173)/1000)</f>
        <v>70.034999999999997</v>
      </c>
      <c r="V173" s="123">
        <f>IF(G173="",0,(G173*H173)/3600)</f>
        <v>7.9508333333333336</v>
      </c>
      <c r="W173" s="45">
        <f>IFERROR(IF(E173="","",(H173/P173)),0)</f>
        <v>1.0149999999999999</v>
      </c>
      <c r="X173" s="94">
        <f>WEEKDAY(A173,1)</f>
        <v>6</v>
      </c>
      <c r="Y173" s="120">
        <f>MONTH(A173)</f>
        <v>7</v>
      </c>
      <c r="Z173" s="125">
        <f>WEEKNUM(A173)-WEEKNUM(DATE(YEAR(A173),MONTH(A173),1))+1</f>
        <v>1</v>
      </c>
      <c r="AA173" s="126">
        <f>IF(V173="",0,V173/8)</f>
        <v>0.99385416666666671</v>
      </c>
      <c r="AB173" s="125">
        <f>IF(E173="02PZ03405",0,1)</f>
        <v>1</v>
      </c>
    </row>
    <row r="174" spans="1:28" x14ac:dyDescent="0.2">
      <c r="A174" s="37">
        <v>44747</v>
      </c>
      <c r="B174" s="119" t="s">
        <v>34</v>
      </c>
      <c r="C174" s="31" t="s">
        <v>35</v>
      </c>
      <c r="D174" s="38">
        <v>3</v>
      </c>
      <c r="E174" s="39" t="s">
        <v>54</v>
      </c>
      <c r="F174" s="33" t="str">
        <f>IF(E174="","",VLOOKUP(E174,'Base Datos'!$A$2:$M$150,2,FALSE))</f>
        <v>Mate Marwal</v>
      </c>
      <c r="G174" s="99">
        <v>53</v>
      </c>
      <c r="H174" s="102">
        <v>528</v>
      </c>
      <c r="I174" s="32">
        <v>1</v>
      </c>
      <c r="J174" s="32"/>
      <c r="K174" s="31"/>
      <c r="L174" s="39">
        <v>183471</v>
      </c>
      <c r="M174" s="33">
        <f>IF(E174="","",VLOOKUP(E174,'Base Datos'!$A$2:$M$150,3,FALSE))</f>
        <v>48</v>
      </c>
      <c r="N174" s="23">
        <f>IF(E174="","",VLOOKUP(E174,'Base Datos'!$A$2:$M$150,4,FALSE))</f>
        <v>75</v>
      </c>
      <c r="O174" s="23">
        <f>IF(E174="","",VLOOKUP(E174,'Base Datos'!$A$2:$M$150,5,FALSE))</f>
        <v>48</v>
      </c>
      <c r="P174" s="23">
        <f>IF(E174="","",VLOOKUP(E174,'Base Datos'!$A$2:$M$150,6,FALSE))</f>
        <v>600</v>
      </c>
      <c r="Q174" s="23">
        <f>IF(E174="","",VLOOKUP(E174,'Base Datos'!$A$2:$M$150,7,FALSE))</f>
        <v>1</v>
      </c>
      <c r="R174" s="40">
        <f>IF(E174="","",VLOOKUP(E174,'Base Datos'!$A$2:$M$150,8,FALSE))</f>
        <v>115</v>
      </c>
      <c r="S174" s="40" t="str">
        <f>IF(E174="","",VLOOKUP(E174,'Base Datos'!$A$2:$M$150,9,FALSE))</f>
        <v>PP</v>
      </c>
      <c r="T174" s="33">
        <f>IF(E174="","",(H174*I174)-(J174+K174))</f>
        <v>528</v>
      </c>
      <c r="U174" s="33">
        <f>IF(E174="","",(I174*R174)/1000)</f>
        <v>0.115</v>
      </c>
      <c r="V174" s="123">
        <f>IF(G174="",0,(G174*H174)/3600)</f>
        <v>7.7733333333333334</v>
      </c>
      <c r="W174" s="45">
        <f>IFERROR(IF(E174="","",(H174/P174)),0)</f>
        <v>0.88</v>
      </c>
      <c r="X174" s="94">
        <f>WEEKDAY(A174,1)</f>
        <v>3</v>
      </c>
      <c r="Y174" s="120">
        <f>MONTH(A174)</f>
        <v>7</v>
      </c>
      <c r="Z174" s="125">
        <f>WEEKNUM(A174)-WEEKNUM(DATE(YEAR(A174),MONTH(A174),1))+1</f>
        <v>2</v>
      </c>
      <c r="AA174" s="126">
        <f>IF(V174="",0,V174/8)</f>
        <v>0.97166666666666668</v>
      </c>
      <c r="AB174" s="125">
        <f>IF(E174="02PZ03405",0,1)</f>
        <v>1</v>
      </c>
    </row>
    <row r="175" spans="1:28" x14ac:dyDescent="0.2">
      <c r="A175" s="37">
        <v>44750</v>
      </c>
      <c r="B175" s="31" t="s">
        <v>34</v>
      </c>
      <c r="C175" s="31" t="s">
        <v>35</v>
      </c>
      <c r="D175" s="38">
        <v>3</v>
      </c>
      <c r="E175" s="39" t="s">
        <v>54</v>
      </c>
      <c r="F175" s="33" t="str">
        <f>IF(E175="","",VLOOKUP(E175,'Base Datos'!$A$2:$M$150,2,FALSE))</f>
        <v>Mate Marwal</v>
      </c>
      <c r="G175" s="32">
        <v>50</v>
      </c>
      <c r="H175" s="32">
        <v>585</v>
      </c>
      <c r="I175" s="32">
        <v>1</v>
      </c>
      <c r="J175" s="32">
        <v>6</v>
      </c>
      <c r="K175" s="31">
        <v>3</v>
      </c>
      <c r="L175" s="39">
        <v>184706</v>
      </c>
      <c r="M175" s="33">
        <f>IF(E175="","",VLOOKUP(E175,'Base Datos'!$A$2:$M$150,3,FALSE))</f>
        <v>48</v>
      </c>
      <c r="N175" s="23">
        <f>IF(E175="","",VLOOKUP(E175,'Base Datos'!$A$2:$M$150,4,FALSE))</f>
        <v>75</v>
      </c>
      <c r="O175" s="23">
        <f>IF(E175="","",VLOOKUP(E175,'Base Datos'!$A$2:$M$150,5,FALSE))</f>
        <v>48</v>
      </c>
      <c r="P175" s="23">
        <f>IF(E175="","",VLOOKUP(E175,'Base Datos'!$A$2:$M$150,6,FALSE))</f>
        <v>600</v>
      </c>
      <c r="Q175" s="23">
        <f>IF(E175="","",VLOOKUP(E175,'Base Datos'!$A$2:$M$150,7,FALSE))</f>
        <v>1</v>
      </c>
      <c r="R175" s="40">
        <f>IF(E175="","",VLOOKUP(E175,'Base Datos'!$A$2:$M$150,8,FALSE))</f>
        <v>115</v>
      </c>
      <c r="S175" s="40" t="str">
        <f>IF(E175="","",VLOOKUP(E175,'Base Datos'!$A$2:$M$150,9,FALSE))</f>
        <v>PP</v>
      </c>
      <c r="T175" s="33">
        <f>IF(E175="","",(H175*I175)-(J175+K175))</f>
        <v>576</v>
      </c>
      <c r="U175" s="33">
        <f>IF(E175="","",(H175*R175)/1000)</f>
        <v>67.275000000000006</v>
      </c>
      <c r="V175" s="123">
        <f>IF(G175="",0,(G175*H175)/3600)</f>
        <v>8.125</v>
      </c>
      <c r="W175" s="45">
        <f>IFERROR(IF(E175="","",(H175/P175)),0)</f>
        <v>0.97499999999999998</v>
      </c>
      <c r="X175" s="94">
        <f>WEEKDAY(A175,1)</f>
        <v>6</v>
      </c>
      <c r="Y175" s="120">
        <f>MONTH(A175)</f>
        <v>7</v>
      </c>
      <c r="Z175" s="125">
        <f>WEEKNUM(A175)-WEEKNUM(DATE(YEAR(A175),MONTH(A175),1))+1</f>
        <v>2</v>
      </c>
      <c r="AA175" s="126">
        <f>IF(V175="",0,V175/8)</f>
        <v>1.015625</v>
      </c>
      <c r="AB175" s="125">
        <f>IF(E175="02PZ03405",0,1)</f>
        <v>1</v>
      </c>
    </row>
    <row r="176" spans="1:28" x14ac:dyDescent="0.2">
      <c r="A176" s="37">
        <v>44747</v>
      </c>
      <c r="B176" s="119" t="s">
        <v>86</v>
      </c>
      <c r="C176" s="31" t="s">
        <v>91</v>
      </c>
      <c r="D176" s="38">
        <v>3</v>
      </c>
      <c r="E176" s="39" t="s">
        <v>54</v>
      </c>
      <c r="F176" s="33" t="str">
        <f>IF(E176="","",VLOOKUP(E176,'Base Datos'!$A$2:$M$150,2,FALSE))</f>
        <v>Mate Marwal</v>
      </c>
      <c r="G176" s="99">
        <v>53</v>
      </c>
      <c r="H176" s="102">
        <v>507</v>
      </c>
      <c r="I176" s="32">
        <v>1</v>
      </c>
      <c r="J176" s="32"/>
      <c r="K176" s="31"/>
      <c r="L176" s="39">
        <v>183471</v>
      </c>
      <c r="M176" s="33">
        <f>IF(E176="","",VLOOKUP(E176,'Base Datos'!$A$2:$M$150,3,FALSE))</f>
        <v>48</v>
      </c>
      <c r="N176" s="23">
        <f>IF(E176="","",VLOOKUP(E176,'Base Datos'!$A$2:$M$150,4,FALSE))</f>
        <v>75</v>
      </c>
      <c r="O176" s="23">
        <f>IF(E176="","",VLOOKUP(E176,'Base Datos'!$A$2:$M$150,5,FALSE))</f>
        <v>48</v>
      </c>
      <c r="P176" s="23">
        <f>IF(E176="","",VLOOKUP(E176,'Base Datos'!$A$2:$M$150,6,FALSE))</f>
        <v>600</v>
      </c>
      <c r="Q176" s="23">
        <f>IF(E176="","",VLOOKUP(E176,'Base Datos'!$A$2:$M$150,7,FALSE))</f>
        <v>1</v>
      </c>
      <c r="R176" s="40">
        <f>IF(E176="","",VLOOKUP(E176,'Base Datos'!$A$2:$M$150,8,FALSE))</f>
        <v>115</v>
      </c>
      <c r="S176" s="40" t="str">
        <f>IF(E176="","",VLOOKUP(E176,'Base Datos'!$A$2:$M$150,9,FALSE))</f>
        <v>PP</v>
      </c>
      <c r="T176" s="33">
        <f>IF(E176="","",(H176*I176)-(J176+K176))</f>
        <v>507</v>
      </c>
      <c r="U176" s="33">
        <f>IF(E176="","",(I176*R176)/1000)</f>
        <v>0.115</v>
      </c>
      <c r="V176" s="123">
        <f>IF(G176="",0,(G176*H176)/3600)</f>
        <v>7.4641666666666664</v>
      </c>
      <c r="W176" s="45">
        <f>IFERROR(IF(E176="","",(H176/P176)),0)</f>
        <v>0.84499999999999997</v>
      </c>
      <c r="X176" s="94">
        <f>WEEKDAY(A176,1)</f>
        <v>3</v>
      </c>
      <c r="Y176" s="120">
        <f>MONTH(A176)</f>
        <v>7</v>
      </c>
      <c r="Z176" s="125">
        <f>WEEKNUM(A176)-WEEKNUM(DATE(YEAR(A176),MONTH(A176),1))+1</f>
        <v>2</v>
      </c>
      <c r="AA176" s="126">
        <f>IF(V176="",0,V176/8)</f>
        <v>0.9330208333333333</v>
      </c>
      <c r="AB176" s="125">
        <f>IF(E176="02PZ03405",0,1)</f>
        <v>1</v>
      </c>
    </row>
    <row r="177" spans="1:28" x14ac:dyDescent="0.2">
      <c r="A177" s="37">
        <v>44753</v>
      </c>
      <c r="B177" s="31" t="s">
        <v>86</v>
      </c>
      <c r="C177" s="31" t="s">
        <v>91</v>
      </c>
      <c r="D177" s="38">
        <v>3</v>
      </c>
      <c r="E177" s="39" t="s">
        <v>54</v>
      </c>
      <c r="F177" s="33" t="str">
        <f>IF(E177="","",VLOOKUP(E177,'Base Datos'!$A$2:$M$150,2,FALSE))</f>
        <v>Mate Marwal</v>
      </c>
      <c r="G177" s="32">
        <v>51.6</v>
      </c>
      <c r="H177" s="102">
        <v>457</v>
      </c>
      <c r="I177" s="32">
        <v>1</v>
      </c>
      <c r="J177" s="32">
        <v>41</v>
      </c>
      <c r="K177" s="31">
        <v>1</v>
      </c>
      <c r="L177" s="39">
        <v>184706</v>
      </c>
      <c r="M177" s="33">
        <f>IF(E177="","",VLOOKUP(E177,'Base Datos'!$A$2:$M$150,3,FALSE))</f>
        <v>48</v>
      </c>
      <c r="N177" s="23">
        <f>IF(E177="","",VLOOKUP(E177,'Base Datos'!$A$2:$M$150,4,FALSE))</f>
        <v>75</v>
      </c>
      <c r="O177" s="23">
        <f>IF(E177="","",VLOOKUP(E177,'Base Datos'!$A$2:$M$150,5,FALSE))</f>
        <v>48</v>
      </c>
      <c r="P177" s="23">
        <f>IF(E177="","",VLOOKUP(E177,'Base Datos'!$A$2:$M$150,6,FALSE))</f>
        <v>600</v>
      </c>
      <c r="Q177" s="23">
        <f>IF(E177="","",VLOOKUP(E177,'Base Datos'!$A$2:$M$150,7,FALSE))</f>
        <v>1</v>
      </c>
      <c r="R177" s="40">
        <f>IF(E177="","",VLOOKUP(E177,'Base Datos'!$A$2:$M$150,8,FALSE))</f>
        <v>115</v>
      </c>
      <c r="S177" s="40" t="str">
        <f>IF(E177="","",VLOOKUP(E177,'Base Datos'!$A$2:$M$150,9,FALSE))</f>
        <v>PP</v>
      </c>
      <c r="T177" s="33">
        <f>IF(E177="","",(H177*I177)-(J177+K177))</f>
        <v>415</v>
      </c>
      <c r="U177" s="33">
        <f>IF(E177="","",(I177*R177)/1000)</f>
        <v>0.115</v>
      </c>
      <c r="V177" s="123">
        <f>IF(G177="",0,(G177*H177)/3600)</f>
        <v>6.5503333333333336</v>
      </c>
      <c r="W177" s="45">
        <f>IFERROR(IF(E177="","",(H177/P177)),0)</f>
        <v>0.76166666666666671</v>
      </c>
      <c r="X177" s="94">
        <f>WEEKDAY(A177,1)</f>
        <v>2</v>
      </c>
      <c r="Y177" s="120">
        <f>MONTH(A177)</f>
        <v>7</v>
      </c>
      <c r="Z177" s="125">
        <f>WEEKNUM(A177)-WEEKNUM(DATE(YEAR(A177),MONTH(A177),1))+1</f>
        <v>3</v>
      </c>
      <c r="AA177" s="126">
        <f>IF(V177="",0,V177/8)</f>
        <v>0.8187916666666667</v>
      </c>
      <c r="AB177" s="125">
        <f>IF(E177="02PZ03405",0,1)</f>
        <v>1</v>
      </c>
    </row>
    <row r="178" spans="1:28" x14ac:dyDescent="0.2">
      <c r="A178" s="37">
        <v>44750</v>
      </c>
      <c r="B178" s="31" t="s">
        <v>86</v>
      </c>
      <c r="C178" s="31" t="s">
        <v>91</v>
      </c>
      <c r="D178" s="38">
        <v>3</v>
      </c>
      <c r="E178" s="39" t="s">
        <v>54</v>
      </c>
      <c r="F178" s="33" t="str">
        <f>IF(E178="","",VLOOKUP(E178,'Base Datos'!$A$2:$M$150,2,FALSE))</f>
        <v>Mate Marwal</v>
      </c>
      <c r="G178" s="32">
        <v>48.6</v>
      </c>
      <c r="H178" s="102">
        <v>565</v>
      </c>
      <c r="I178" s="32">
        <v>1</v>
      </c>
      <c r="J178" s="32">
        <v>18</v>
      </c>
      <c r="K178" s="31">
        <v>0</v>
      </c>
      <c r="L178" s="39">
        <v>184706</v>
      </c>
      <c r="M178" s="33">
        <f>IF(E178="","",VLOOKUP(E178,'Base Datos'!$A$2:$M$150,3,FALSE))</f>
        <v>48</v>
      </c>
      <c r="N178" s="23">
        <f>IF(E178="","",VLOOKUP(E178,'Base Datos'!$A$2:$M$150,4,FALSE))</f>
        <v>75</v>
      </c>
      <c r="O178" s="23">
        <f>IF(E178="","",VLOOKUP(E178,'Base Datos'!$A$2:$M$150,5,FALSE))</f>
        <v>48</v>
      </c>
      <c r="P178" s="23">
        <f>IF(E178="","",VLOOKUP(E178,'Base Datos'!$A$2:$M$150,6,FALSE))</f>
        <v>600</v>
      </c>
      <c r="Q178" s="23">
        <f>IF(E178="","",VLOOKUP(E178,'Base Datos'!$A$2:$M$150,7,FALSE))</f>
        <v>1</v>
      </c>
      <c r="R178" s="40">
        <f>IF(E178="","",VLOOKUP(E178,'Base Datos'!$A$2:$M$150,8,FALSE))</f>
        <v>115</v>
      </c>
      <c r="S178" s="40" t="str">
        <f>IF(E178="","",VLOOKUP(E178,'Base Datos'!$A$2:$M$150,9,FALSE))</f>
        <v>PP</v>
      </c>
      <c r="T178" s="33">
        <f>IF(E178="","",(H178*I178)-(J178+K178))</f>
        <v>547</v>
      </c>
      <c r="U178" s="33">
        <f>IF(E178="","",(I178*R178)/1000)</f>
        <v>0.115</v>
      </c>
      <c r="V178" s="123">
        <f>IF(G178="",0,(G178*H178)/3600)</f>
        <v>7.6275000000000004</v>
      </c>
      <c r="W178" s="45">
        <f>IFERROR(IF(E178="","",(H178/P178)),0)</f>
        <v>0.94166666666666665</v>
      </c>
      <c r="X178" s="94">
        <f>WEEKDAY(A178,1)</f>
        <v>6</v>
      </c>
      <c r="Y178" s="120">
        <f>MONTH(A178)</f>
        <v>7</v>
      </c>
      <c r="Z178" s="125">
        <f>WEEKNUM(A178)-WEEKNUM(DATE(YEAR(A178),MONTH(A178),1))+1</f>
        <v>2</v>
      </c>
      <c r="AA178" s="126">
        <f>IF(V178="",0,V178/8)</f>
        <v>0.95343750000000005</v>
      </c>
      <c r="AB178" s="125">
        <f>IF(E178="02PZ03405",0,1)</f>
        <v>1</v>
      </c>
    </row>
    <row r="179" spans="1:28" x14ac:dyDescent="0.2">
      <c r="A179" s="101">
        <v>44749</v>
      </c>
      <c r="B179" s="31" t="s">
        <v>86</v>
      </c>
      <c r="C179" s="31" t="s">
        <v>91</v>
      </c>
      <c r="D179" s="38">
        <v>3</v>
      </c>
      <c r="E179" s="39" t="s">
        <v>54</v>
      </c>
      <c r="F179" s="33" t="str">
        <f>IF(E179="","",VLOOKUP(E179,'Base Datos'!$A$2:$M$150,2,FALSE))</f>
        <v>Mate Marwal</v>
      </c>
      <c r="G179" s="99">
        <v>53</v>
      </c>
      <c r="H179" s="32">
        <v>429</v>
      </c>
      <c r="I179" s="32">
        <v>1</v>
      </c>
      <c r="J179" s="32">
        <v>50</v>
      </c>
      <c r="K179" s="31"/>
      <c r="L179" s="39">
        <v>183471</v>
      </c>
      <c r="M179" s="33">
        <f>IF(E179="","",VLOOKUP(E179,'Base Datos'!$A$2:$M$150,3,FALSE))</f>
        <v>48</v>
      </c>
      <c r="N179" s="23">
        <f>IF(E179="","",VLOOKUP(E179,'Base Datos'!$A$2:$M$150,4,FALSE))</f>
        <v>75</v>
      </c>
      <c r="O179" s="23">
        <f>IF(E179="","",VLOOKUP(E179,'Base Datos'!$A$2:$M$150,5,FALSE))</f>
        <v>48</v>
      </c>
      <c r="P179" s="23">
        <f>IF(E179="","",VLOOKUP(E179,'Base Datos'!$A$2:$M$150,6,FALSE))</f>
        <v>600</v>
      </c>
      <c r="Q179" s="23">
        <f>IF(E179="","",VLOOKUP(E179,'Base Datos'!$A$2:$M$150,7,FALSE))</f>
        <v>1</v>
      </c>
      <c r="R179" s="40">
        <f>IF(E179="","",VLOOKUP(E179,'Base Datos'!$A$2:$M$150,8,FALSE))</f>
        <v>115</v>
      </c>
      <c r="S179" s="40" t="str">
        <f>IF(E179="","",VLOOKUP(E179,'Base Datos'!$A$2:$M$150,9,FALSE))</f>
        <v>PP</v>
      </c>
      <c r="T179" s="33">
        <f>IF(E179="","",(H179*I179)-(J179+K179))</f>
        <v>379</v>
      </c>
      <c r="U179" s="33">
        <f>IF(E179="","",(H179*R179)/1000)</f>
        <v>49.335000000000001</v>
      </c>
      <c r="V179" s="123">
        <f>IF(G179="",0,(G179*H179)/3600)</f>
        <v>6.315833333333333</v>
      </c>
      <c r="W179" s="45">
        <f>IFERROR(IF(E179="","",(H179/P179)),0)</f>
        <v>0.71499999999999997</v>
      </c>
      <c r="X179" s="94">
        <f>WEEKDAY(A179,1)</f>
        <v>5</v>
      </c>
      <c r="Y179" s="120">
        <f>MONTH(A179)</f>
        <v>7</v>
      </c>
      <c r="Z179" s="125">
        <f>WEEKNUM(A179)-WEEKNUM(DATE(YEAR(A179),MONTH(A179),1))+1</f>
        <v>2</v>
      </c>
      <c r="AA179" s="126">
        <f>IF(V179="",0,V179/8)</f>
        <v>0.78947916666666662</v>
      </c>
      <c r="AB179" s="125">
        <f>IF(E179="02PZ03405",0,1)</f>
        <v>1</v>
      </c>
    </row>
    <row r="180" spans="1:28" x14ac:dyDescent="0.2">
      <c r="A180" s="148">
        <v>44746</v>
      </c>
      <c r="B180" s="96" t="s">
        <v>86</v>
      </c>
      <c r="C180" s="96" t="s">
        <v>91</v>
      </c>
      <c r="D180" s="38">
        <v>3</v>
      </c>
      <c r="E180" s="39" t="s">
        <v>54</v>
      </c>
      <c r="F180" s="95" t="str">
        <f>IF(E180="","",VLOOKUP(E180,'Base Datos'!$A$2:$M$150,2,FALSE))</f>
        <v>Mate Marwal</v>
      </c>
      <c r="G180" s="99">
        <v>53</v>
      </c>
      <c r="H180" s="99">
        <v>509</v>
      </c>
      <c r="I180" s="99">
        <v>1</v>
      </c>
      <c r="J180" s="99">
        <v>7</v>
      </c>
      <c r="K180" s="39">
        <v>4</v>
      </c>
      <c r="L180" s="39">
        <v>183471</v>
      </c>
      <c r="M180" s="97">
        <f>IF(E180="","",VLOOKUP(E180,'Base Datos'!$A$2:$M$150,3,FALSE))</f>
        <v>48</v>
      </c>
      <c r="N180" s="40">
        <f>IF(E180="","",VLOOKUP(E180,'Base Datos'!$A$2:$M$150,4,FALSE))</f>
        <v>75</v>
      </c>
      <c r="O180" s="40">
        <f>IF(E180="","",VLOOKUP(E180,'Base Datos'!$A$2:$M$150,5,FALSE))</f>
        <v>48</v>
      </c>
      <c r="P180" s="40">
        <f>IF(E180="","",VLOOKUP(E180,'Base Datos'!$A$2:$M$150,6,FALSE))</f>
        <v>600</v>
      </c>
      <c r="Q180" s="40">
        <f>IF(E180="","",VLOOKUP(E180,'Base Datos'!$A$2:$M$150,7,FALSE))</f>
        <v>1</v>
      </c>
      <c r="R180" s="40">
        <f>IF(E180="","",VLOOKUP(E180,'Base Datos'!$A$2:$M$150,8,FALSE))</f>
        <v>115</v>
      </c>
      <c r="S180" s="40" t="str">
        <f>IF(E180="","",VLOOKUP(E180,'Base Datos'!$A$2:$M$150,9,FALSE))</f>
        <v>PP</v>
      </c>
      <c r="T180" s="97">
        <f>IF(E180="","",(H180*I180)-(J180+K180))</f>
        <v>498</v>
      </c>
      <c r="U180" s="98">
        <f>IF(E180="","",(H180*R180)/1000)</f>
        <v>58.534999999999997</v>
      </c>
      <c r="V180" s="123">
        <f>IF(G180="",0,(G180*H180)/3600)</f>
        <v>7.493611111111111</v>
      </c>
      <c r="W180" s="45">
        <f>IFERROR(IF(E180="","",(H180/P180)),0)</f>
        <v>0.84833333333333338</v>
      </c>
      <c r="X180" s="94">
        <f>WEEKDAY(A180,1)</f>
        <v>2</v>
      </c>
      <c r="Y180" s="120">
        <f>MONTH(A180)</f>
        <v>7</v>
      </c>
      <c r="Z180" s="125">
        <f>WEEKNUM(A180)-WEEKNUM(DATE(YEAR(A180),MONTH(A180),1))+1</f>
        <v>2</v>
      </c>
      <c r="AA180" s="126">
        <f>IF(V180="",0,V180/8)</f>
        <v>0.93670138888888888</v>
      </c>
      <c r="AB180" s="125">
        <f>IF(E180="02PZ03405",0,1)</f>
        <v>1</v>
      </c>
    </row>
    <row r="181" spans="1:28" x14ac:dyDescent="0.2">
      <c r="A181" s="148">
        <v>44743</v>
      </c>
      <c r="B181" s="96" t="s">
        <v>86</v>
      </c>
      <c r="C181" s="96" t="s">
        <v>91</v>
      </c>
      <c r="D181" s="38">
        <v>3</v>
      </c>
      <c r="E181" s="39" t="s">
        <v>54</v>
      </c>
      <c r="F181" s="95" t="str">
        <f>IF(E181="","",VLOOKUP(E181,'Base Datos'!$A$2:$M$150,2,FALSE))</f>
        <v>Mate Marwal</v>
      </c>
      <c r="G181" s="99">
        <v>45.2</v>
      </c>
      <c r="H181" s="99">
        <v>312</v>
      </c>
      <c r="I181" s="99">
        <v>1</v>
      </c>
      <c r="J181" s="99">
        <v>6</v>
      </c>
      <c r="K181" s="39">
        <v>3</v>
      </c>
      <c r="L181" s="39">
        <v>184119</v>
      </c>
      <c r="M181" s="97">
        <f>IF(E181="","",VLOOKUP(E181,'Base Datos'!$A$2:$M$150,3,FALSE))</f>
        <v>48</v>
      </c>
      <c r="N181" s="40">
        <f>IF(E181="","",VLOOKUP(E181,'Base Datos'!$A$2:$M$150,4,FALSE))</f>
        <v>75</v>
      </c>
      <c r="O181" s="40">
        <f>IF(E181="","",VLOOKUP(E181,'Base Datos'!$A$2:$M$150,5,FALSE))</f>
        <v>48</v>
      </c>
      <c r="P181" s="40">
        <f>IF(E181="","",VLOOKUP(E181,'Base Datos'!$A$2:$M$150,6,FALSE))</f>
        <v>600</v>
      </c>
      <c r="Q181" s="40">
        <f>IF(E181="","",VLOOKUP(E181,'Base Datos'!$A$2:$M$150,7,FALSE))</f>
        <v>1</v>
      </c>
      <c r="R181" s="40">
        <f>IF(E181="","",VLOOKUP(E181,'Base Datos'!$A$2:$M$150,8,FALSE))</f>
        <v>115</v>
      </c>
      <c r="S181" s="40" t="str">
        <f>IF(E181="","",VLOOKUP(E181,'Base Datos'!$A$2:$M$150,9,FALSE))</f>
        <v>PP</v>
      </c>
      <c r="T181" s="97">
        <f>IF(E181="","",(H181*I181)-(J181+K181))</f>
        <v>303</v>
      </c>
      <c r="U181" s="98">
        <f>IF(E181="","",(H181*R181)/1000)</f>
        <v>35.880000000000003</v>
      </c>
      <c r="V181" s="123">
        <f>IF(G181="",0,(G181*H181)/3600)</f>
        <v>3.9173333333333336</v>
      </c>
      <c r="W181" s="45">
        <f>IFERROR(IF(E181="","",(H181/P181)),0)</f>
        <v>0.52</v>
      </c>
      <c r="X181" s="94">
        <f>WEEKDAY(A181,1)</f>
        <v>6</v>
      </c>
      <c r="Y181" s="120">
        <f>MONTH(A181)</f>
        <v>7</v>
      </c>
      <c r="Z181" s="125">
        <f>WEEKNUM(A181)-WEEKNUM(DATE(YEAR(A181),MONTH(A181),1))+1</f>
        <v>1</v>
      </c>
      <c r="AA181" s="126">
        <f>IF(V181="",0,V181/8)</f>
        <v>0.48966666666666669</v>
      </c>
      <c r="AB181" s="125">
        <f>IF(E181="02PZ03405",0,1)</f>
        <v>1</v>
      </c>
    </row>
    <row r="182" spans="1:28" x14ac:dyDescent="0.2">
      <c r="A182" s="37">
        <v>44764</v>
      </c>
      <c r="B182" s="31" t="s">
        <v>86</v>
      </c>
      <c r="C182" s="31" t="s">
        <v>90</v>
      </c>
      <c r="D182" s="38">
        <v>2</v>
      </c>
      <c r="E182" s="39" t="s">
        <v>54</v>
      </c>
      <c r="F182" s="33" t="str">
        <f>IF(E182="","",VLOOKUP(E182,'Base Datos'!$A$2:$M$150,2,FALSE))</f>
        <v>Mate Marwal</v>
      </c>
      <c r="G182" s="99">
        <v>50</v>
      </c>
      <c r="H182" s="102">
        <v>191</v>
      </c>
      <c r="I182" s="32">
        <v>1</v>
      </c>
      <c r="J182" s="32">
        <v>11</v>
      </c>
      <c r="K182" s="31">
        <v>8</v>
      </c>
      <c r="L182" s="39">
        <v>184975</v>
      </c>
      <c r="M182" s="33">
        <f>IF(E182="","",VLOOKUP(E182,'Base Datos'!$A$2:$M$150,3,FALSE))</f>
        <v>48</v>
      </c>
      <c r="N182" s="23">
        <f>IF(E182="","",VLOOKUP(E182,'Base Datos'!$A$2:$M$150,4,FALSE))</f>
        <v>75</v>
      </c>
      <c r="O182" s="23">
        <f>IF(E182="","",VLOOKUP(E182,'Base Datos'!$A$2:$M$150,5,FALSE))</f>
        <v>48</v>
      </c>
      <c r="P182" s="23">
        <f>IF(E182="","",VLOOKUP(E182,'Base Datos'!$A$2:$M$150,6,FALSE))</f>
        <v>600</v>
      </c>
      <c r="Q182" s="23">
        <f>IF(E182="","",VLOOKUP(E182,'Base Datos'!$A$2:$M$150,7,FALSE))</f>
        <v>1</v>
      </c>
      <c r="R182" s="40">
        <f>IF(E182="","",VLOOKUP(E182,'Base Datos'!$A$2:$M$150,8,FALSE))</f>
        <v>115</v>
      </c>
      <c r="S182" s="40" t="str">
        <f>IF(E182="","",VLOOKUP(E182,'Base Datos'!$A$2:$M$150,9,FALSE))</f>
        <v>PP</v>
      </c>
      <c r="T182" s="33">
        <f>IF(E182="","",(H182*I182)-(J182+K182))</f>
        <v>172</v>
      </c>
      <c r="U182" s="33">
        <f>IF(E182="","",(I182*R182)/1000)</f>
        <v>0.115</v>
      </c>
      <c r="V182" s="123">
        <f>IF(G182="",0,(G182*H182)/3600)</f>
        <v>2.6527777777777777</v>
      </c>
      <c r="W182" s="45">
        <f>IFERROR(IF(E182="","",(H182/P182)),0)</f>
        <v>0.31833333333333336</v>
      </c>
      <c r="X182" s="94">
        <f>WEEKDAY(A182,1)</f>
        <v>6</v>
      </c>
      <c r="Y182" s="120">
        <f>MONTH(A182)</f>
        <v>7</v>
      </c>
      <c r="Z182" s="125">
        <f>WEEKNUM(A182)-WEEKNUM(DATE(YEAR(A182),MONTH(A182),1))+1</f>
        <v>4</v>
      </c>
      <c r="AA182" s="126">
        <f>IF(V182="",0,V182/8)</f>
        <v>0.33159722222222221</v>
      </c>
      <c r="AB182" s="125">
        <f>IF(E182="02PZ03405",0,1)</f>
        <v>1</v>
      </c>
    </row>
    <row r="183" spans="1:28" x14ac:dyDescent="0.2">
      <c r="A183" s="37">
        <v>44769</v>
      </c>
      <c r="B183" s="31" t="s">
        <v>86</v>
      </c>
      <c r="C183" s="31" t="s">
        <v>88</v>
      </c>
      <c r="D183" s="38">
        <v>2</v>
      </c>
      <c r="E183" s="39" t="s">
        <v>54</v>
      </c>
      <c r="F183" s="33" t="str">
        <f>IF(E183="","",VLOOKUP(E183,'Base Datos'!$A$2:$M$150,2,FALSE))</f>
        <v>Mate Marwal</v>
      </c>
      <c r="G183" s="99">
        <v>53</v>
      </c>
      <c r="H183" s="102">
        <v>544</v>
      </c>
      <c r="I183" s="32">
        <v>1</v>
      </c>
      <c r="J183" s="32">
        <v>5</v>
      </c>
      <c r="K183" s="31">
        <v>0</v>
      </c>
      <c r="L183" s="39">
        <v>184975</v>
      </c>
      <c r="M183" s="33">
        <f>IF(E183="","",VLOOKUP(E183,'Base Datos'!$A$2:$M$150,3,FALSE))</f>
        <v>48</v>
      </c>
      <c r="N183" s="23">
        <f>IF(E183="","",VLOOKUP(E183,'Base Datos'!$A$2:$M$150,4,FALSE))</f>
        <v>75</v>
      </c>
      <c r="O183" s="23">
        <f>IF(E183="","",VLOOKUP(E183,'Base Datos'!$A$2:$M$150,5,FALSE))</f>
        <v>48</v>
      </c>
      <c r="P183" s="23">
        <f>IF(E183="","",VLOOKUP(E183,'Base Datos'!$A$2:$M$150,6,FALSE))</f>
        <v>600</v>
      </c>
      <c r="Q183" s="23">
        <f>IF(E183="","",VLOOKUP(E183,'Base Datos'!$A$2:$M$150,7,FALSE))</f>
        <v>1</v>
      </c>
      <c r="R183" s="40">
        <f>IF(E183="","",VLOOKUP(E183,'Base Datos'!$A$2:$M$150,8,FALSE))</f>
        <v>115</v>
      </c>
      <c r="S183" s="40" t="str">
        <f>IF(E183="","",VLOOKUP(E183,'Base Datos'!$A$2:$M$150,9,FALSE))</f>
        <v>PP</v>
      </c>
      <c r="T183" s="33">
        <f>IF(E183="","",(H183*I183)-(J183+K183))</f>
        <v>539</v>
      </c>
      <c r="U183" s="33">
        <f>IF(E183="","",(I183*R183)/1000)</f>
        <v>0.115</v>
      </c>
      <c r="V183" s="123">
        <f>IF(G183="",0,(G183*H183)/3600)</f>
        <v>8.0088888888888885</v>
      </c>
      <c r="W183" s="45">
        <f>IFERROR(IF(E183="","",(H183/P183)),0)</f>
        <v>0.90666666666666662</v>
      </c>
      <c r="X183" s="94">
        <f>WEEKDAY(A183,1)</f>
        <v>4</v>
      </c>
      <c r="Y183" s="120">
        <f>MONTH(A183)</f>
        <v>7</v>
      </c>
      <c r="Z183" s="125">
        <f>WEEKNUM(A183)-WEEKNUM(DATE(YEAR(A183),MONTH(A183),1))+1</f>
        <v>5</v>
      </c>
      <c r="AA183" s="126">
        <f>IF(V183="",0,V183/8)</f>
        <v>1.0011111111111111</v>
      </c>
      <c r="AB183" s="125">
        <f>IF(E183="02PZ03405",0,1)</f>
        <v>1</v>
      </c>
    </row>
    <row r="184" spans="1:28" x14ac:dyDescent="0.2">
      <c r="A184" s="37">
        <v>44769</v>
      </c>
      <c r="B184" s="31" t="s">
        <v>34</v>
      </c>
      <c r="C184" s="31" t="s">
        <v>88</v>
      </c>
      <c r="D184" s="38">
        <v>2</v>
      </c>
      <c r="E184" s="39" t="s">
        <v>54</v>
      </c>
      <c r="F184" s="33" t="str">
        <f>IF(E184="","",VLOOKUP(E184,'Base Datos'!$A$2:$M$150,2,FALSE))</f>
        <v>Mate Marwal</v>
      </c>
      <c r="G184" s="99">
        <v>52</v>
      </c>
      <c r="H184" s="102">
        <v>466</v>
      </c>
      <c r="I184" s="32">
        <v>1</v>
      </c>
      <c r="J184" s="32"/>
      <c r="K184" s="31"/>
      <c r="L184" s="39">
        <v>184975</v>
      </c>
      <c r="M184" s="33">
        <f>IF(E184="","",VLOOKUP(E184,'Base Datos'!$A$2:$M$150,3,FALSE))</f>
        <v>48</v>
      </c>
      <c r="N184" s="23">
        <f>IF(E184="","",VLOOKUP(E184,'Base Datos'!$A$2:$M$150,4,FALSE))</f>
        <v>75</v>
      </c>
      <c r="O184" s="23">
        <f>IF(E184="","",VLOOKUP(E184,'Base Datos'!$A$2:$M$150,5,FALSE))</f>
        <v>48</v>
      </c>
      <c r="P184" s="23">
        <f>IF(E184="","",VLOOKUP(E184,'Base Datos'!$A$2:$M$150,6,FALSE))</f>
        <v>600</v>
      </c>
      <c r="Q184" s="23">
        <f>IF(E184="","",VLOOKUP(E184,'Base Datos'!$A$2:$M$150,7,FALSE))</f>
        <v>1</v>
      </c>
      <c r="R184" s="40">
        <f>IF(E184="","",VLOOKUP(E184,'Base Datos'!$A$2:$M$150,8,FALSE))</f>
        <v>115</v>
      </c>
      <c r="S184" s="40" t="str">
        <f>IF(E184="","",VLOOKUP(E184,'Base Datos'!$A$2:$M$150,9,FALSE))</f>
        <v>PP</v>
      </c>
      <c r="T184" s="33">
        <f>IF(E184="","",(H184*I184)-(J184+K184))</f>
        <v>466</v>
      </c>
      <c r="U184" s="33">
        <f>IF(E184="","",(I184*R184)/1000)</f>
        <v>0.115</v>
      </c>
      <c r="V184" s="123">
        <f>IF(G184="",0,(G184*H184)/3600)</f>
        <v>6.7311111111111108</v>
      </c>
      <c r="W184" s="45">
        <f>IFERROR(IF(E184="","",(H184/P184)),0)</f>
        <v>0.77666666666666662</v>
      </c>
      <c r="X184" s="94">
        <f>WEEKDAY(A184,1)</f>
        <v>4</v>
      </c>
      <c r="Y184" s="120">
        <f>MONTH(A184)</f>
        <v>7</v>
      </c>
      <c r="Z184" s="125">
        <f>WEEKNUM(A184)-WEEKNUM(DATE(YEAR(A184),MONTH(A184),1))+1</f>
        <v>5</v>
      </c>
      <c r="AA184" s="126">
        <f>IF(V184="",0,V184/8)</f>
        <v>0.84138888888888885</v>
      </c>
      <c r="AB184" s="125">
        <f>IF(E184="02PZ03405",0,1)</f>
        <v>1</v>
      </c>
    </row>
    <row r="185" spans="1:28" x14ac:dyDescent="0.2">
      <c r="A185" s="37">
        <v>44768</v>
      </c>
      <c r="B185" s="31" t="s">
        <v>34</v>
      </c>
      <c r="C185" s="31" t="s">
        <v>88</v>
      </c>
      <c r="D185" s="38">
        <v>2</v>
      </c>
      <c r="E185" s="39" t="s">
        <v>54</v>
      </c>
      <c r="F185" s="33" t="str">
        <f>IF(E185="","",VLOOKUP(E185,'Base Datos'!$A$2:$M$150,2,FALSE))</f>
        <v>Mate Marwal</v>
      </c>
      <c r="G185" s="99">
        <v>52.5</v>
      </c>
      <c r="H185" s="102">
        <v>650</v>
      </c>
      <c r="I185" s="32">
        <v>1</v>
      </c>
      <c r="J185" s="32">
        <v>10</v>
      </c>
      <c r="K185" s="31">
        <v>5</v>
      </c>
      <c r="L185" s="39">
        <v>184975</v>
      </c>
      <c r="M185" s="33">
        <f>IF(E185="","",VLOOKUP(E185,'Base Datos'!$A$2:$M$150,3,FALSE))</f>
        <v>48</v>
      </c>
      <c r="N185" s="23">
        <f>IF(E185="","",VLOOKUP(E185,'Base Datos'!$A$2:$M$150,4,FALSE))</f>
        <v>75</v>
      </c>
      <c r="O185" s="23">
        <f>IF(E185="","",VLOOKUP(E185,'Base Datos'!$A$2:$M$150,5,FALSE))</f>
        <v>48</v>
      </c>
      <c r="P185" s="23">
        <f>IF(E185="","",VLOOKUP(E185,'Base Datos'!$A$2:$M$150,6,FALSE))</f>
        <v>600</v>
      </c>
      <c r="Q185" s="23">
        <f>IF(E185="","",VLOOKUP(E185,'Base Datos'!$A$2:$M$150,7,FALSE))</f>
        <v>1</v>
      </c>
      <c r="R185" s="40">
        <f>IF(E185="","",VLOOKUP(E185,'Base Datos'!$A$2:$M$150,8,FALSE))</f>
        <v>115</v>
      </c>
      <c r="S185" s="40" t="str">
        <f>IF(E185="","",VLOOKUP(E185,'Base Datos'!$A$2:$M$150,9,FALSE))</f>
        <v>PP</v>
      </c>
      <c r="T185" s="33">
        <f>IF(E185="","",(H185*I185)-(J185+K185))</f>
        <v>635</v>
      </c>
      <c r="U185" s="33">
        <f>IF(E185="","",(I185*R185)/1000)</f>
        <v>0.115</v>
      </c>
      <c r="V185" s="123">
        <f>IF(G185="",0,(G185*H185)/3600)</f>
        <v>9.4791666666666661</v>
      </c>
      <c r="W185" s="45">
        <f>IFERROR(IF(E185="","",(H185/P185)),0)</f>
        <v>1.0833333333333333</v>
      </c>
      <c r="X185" s="94">
        <f>WEEKDAY(A185,1)</f>
        <v>3</v>
      </c>
      <c r="Y185" s="120">
        <f>MONTH(A185)</f>
        <v>7</v>
      </c>
      <c r="Z185" s="125">
        <f>WEEKNUM(A185)-WEEKNUM(DATE(YEAR(A185),MONTH(A185),1))+1</f>
        <v>5</v>
      </c>
      <c r="AA185" s="126">
        <f>IF(V185="",0,V185/8)</f>
        <v>1.1848958333333333</v>
      </c>
      <c r="AB185" s="125">
        <f>IF(E185="02PZ03405",0,1)</f>
        <v>1</v>
      </c>
    </row>
    <row r="186" spans="1:28" x14ac:dyDescent="0.2">
      <c r="A186" s="37">
        <v>44767</v>
      </c>
      <c r="B186" s="31" t="s">
        <v>86</v>
      </c>
      <c r="C186" s="31" t="s">
        <v>88</v>
      </c>
      <c r="D186" s="38">
        <v>2</v>
      </c>
      <c r="E186" s="39" t="s">
        <v>54</v>
      </c>
      <c r="F186" s="33" t="str">
        <f>IF(E186="","",VLOOKUP(E186,'Base Datos'!$A$2:$M$150,2,FALSE))</f>
        <v>Mate Marwal</v>
      </c>
      <c r="G186" s="99">
        <v>50.4</v>
      </c>
      <c r="H186" s="102">
        <v>480</v>
      </c>
      <c r="I186" s="32">
        <v>1</v>
      </c>
      <c r="J186" s="32">
        <v>8</v>
      </c>
      <c r="K186" s="31">
        <v>9</v>
      </c>
      <c r="L186" s="39">
        <v>184975</v>
      </c>
      <c r="M186" s="33">
        <f>IF(E186="","",VLOOKUP(E186,'Base Datos'!$A$2:$M$150,3,FALSE))</f>
        <v>48</v>
      </c>
      <c r="N186" s="23">
        <f>IF(E186="","",VLOOKUP(E186,'Base Datos'!$A$2:$M$150,4,FALSE))</f>
        <v>75</v>
      </c>
      <c r="O186" s="23">
        <f>IF(E186="","",VLOOKUP(E186,'Base Datos'!$A$2:$M$150,5,FALSE))</f>
        <v>48</v>
      </c>
      <c r="P186" s="23">
        <f>IF(E186="","",VLOOKUP(E186,'Base Datos'!$A$2:$M$150,6,FALSE))</f>
        <v>600</v>
      </c>
      <c r="Q186" s="23">
        <f>IF(E186="","",VLOOKUP(E186,'Base Datos'!$A$2:$M$150,7,FALSE))</f>
        <v>1</v>
      </c>
      <c r="R186" s="40">
        <f>IF(E186="","",VLOOKUP(E186,'Base Datos'!$A$2:$M$150,8,FALSE))</f>
        <v>115</v>
      </c>
      <c r="S186" s="40" t="str">
        <f>IF(E186="","",VLOOKUP(E186,'Base Datos'!$A$2:$M$150,9,FALSE))</f>
        <v>PP</v>
      </c>
      <c r="T186" s="33">
        <f>IF(E186="","",(H186*I186)-(J186+K186))</f>
        <v>463</v>
      </c>
      <c r="U186" s="33">
        <f>IF(E186="","",(I186*R186)/1000)</f>
        <v>0.115</v>
      </c>
      <c r="V186" s="123">
        <f>IF(G186="",0,(G186*H186)/3600)</f>
        <v>6.72</v>
      </c>
      <c r="W186" s="45">
        <f>IFERROR(IF(E186="","",(H186/P186)),0)</f>
        <v>0.8</v>
      </c>
      <c r="X186" s="94">
        <f>WEEKDAY(A186,1)</f>
        <v>2</v>
      </c>
      <c r="Y186" s="120">
        <f>MONTH(A186)</f>
        <v>7</v>
      </c>
      <c r="Z186" s="125">
        <f>WEEKNUM(A186)-WEEKNUM(DATE(YEAR(A186),MONTH(A186),1))+1</f>
        <v>5</v>
      </c>
      <c r="AA186" s="126">
        <f>IF(V186="",0,V186/8)</f>
        <v>0.84</v>
      </c>
      <c r="AB186" s="125">
        <f>IF(E186="02PZ03405",0,1)</f>
        <v>1</v>
      </c>
    </row>
    <row r="187" spans="1:28" x14ac:dyDescent="0.2">
      <c r="A187" s="37">
        <v>44754</v>
      </c>
      <c r="B187" s="31" t="s">
        <v>34</v>
      </c>
      <c r="C187" s="31" t="s">
        <v>88</v>
      </c>
      <c r="D187" s="38">
        <v>3</v>
      </c>
      <c r="E187" s="39" t="s">
        <v>54</v>
      </c>
      <c r="F187" s="33" t="str">
        <f>IF(E187="","",VLOOKUP(E187,'Base Datos'!$A$2:$M$150,2,FALSE))</f>
        <v>Mate Marwal</v>
      </c>
      <c r="G187" s="32">
        <v>58.5</v>
      </c>
      <c r="H187" s="102">
        <v>501</v>
      </c>
      <c r="I187" s="32">
        <v>1</v>
      </c>
      <c r="J187" s="32">
        <v>35</v>
      </c>
      <c r="K187" s="31">
        <v>0</v>
      </c>
      <c r="L187" s="39">
        <v>184706</v>
      </c>
      <c r="M187" s="33">
        <f>IF(E187="","",VLOOKUP(E187,'Base Datos'!$A$2:$M$150,3,FALSE))</f>
        <v>48</v>
      </c>
      <c r="N187" s="23">
        <f>IF(E187="","",VLOOKUP(E187,'Base Datos'!$A$2:$M$150,4,FALSE))</f>
        <v>75</v>
      </c>
      <c r="O187" s="23">
        <f>IF(E187="","",VLOOKUP(E187,'Base Datos'!$A$2:$M$150,5,FALSE))</f>
        <v>48</v>
      </c>
      <c r="P187" s="23">
        <f>IF(E187="","",VLOOKUP(E187,'Base Datos'!$A$2:$M$150,6,FALSE))</f>
        <v>600</v>
      </c>
      <c r="Q187" s="23">
        <f>IF(E187="","",VLOOKUP(E187,'Base Datos'!$A$2:$M$150,7,FALSE))</f>
        <v>1</v>
      </c>
      <c r="R187" s="40">
        <f>IF(E187="","",VLOOKUP(E187,'Base Datos'!$A$2:$M$150,8,FALSE))</f>
        <v>115</v>
      </c>
      <c r="S187" s="40" t="str">
        <f>IF(E187="","",VLOOKUP(E187,'Base Datos'!$A$2:$M$150,9,FALSE))</f>
        <v>PP</v>
      </c>
      <c r="T187" s="33">
        <f>IF(E187="","",(H187*I187)-(J187+K187))</f>
        <v>466</v>
      </c>
      <c r="U187" s="33">
        <f>IF(E187="","",(I187*R187)/1000)</f>
        <v>0.115</v>
      </c>
      <c r="V187" s="123">
        <f>IF(G187="",0,(G187*H187)/3600)</f>
        <v>8.1412499999999994</v>
      </c>
      <c r="W187" s="45">
        <f>IFERROR(IF(E187="","",(H187/P187)),0)</f>
        <v>0.83499999999999996</v>
      </c>
      <c r="X187" s="94">
        <f>WEEKDAY(A187,1)</f>
        <v>3</v>
      </c>
      <c r="Y187" s="120">
        <f>MONTH(A187)</f>
        <v>7</v>
      </c>
      <c r="Z187" s="125">
        <f>WEEKNUM(A187)-WEEKNUM(DATE(YEAR(A187),MONTH(A187),1))+1</f>
        <v>3</v>
      </c>
      <c r="AA187" s="126">
        <f>IF(V187="",0,V187/8)</f>
        <v>1.0176562499999999</v>
      </c>
      <c r="AB187" s="125">
        <f>IF(E187="02PZ03405",0,1)</f>
        <v>1</v>
      </c>
    </row>
    <row r="188" spans="1:28" x14ac:dyDescent="0.2">
      <c r="A188" s="37">
        <v>44753</v>
      </c>
      <c r="B188" s="31" t="s">
        <v>34</v>
      </c>
      <c r="C188" s="31" t="s">
        <v>88</v>
      </c>
      <c r="D188" s="38">
        <v>3</v>
      </c>
      <c r="E188" s="39" t="s">
        <v>54</v>
      </c>
      <c r="F188" s="33" t="str">
        <f>IF(E188="","",VLOOKUP(E188,'Base Datos'!$A$2:$M$150,2,FALSE))</f>
        <v>Mate Marwal</v>
      </c>
      <c r="G188" s="32">
        <v>45.5</v>
      </c>
      <c r="H188" s="102">
        <v>458</v>
      </c>
      <c r="I188" s="32">
        <v>1</v>
      </c>
      <c r="J188" s="32">
        <v>19</v>
      </c>
      <c r="K188" s="31">
        <v>8</v>
      </c>
      <c r="L188" s="39">
        <v>184706</v>
      </c>
      <c r="M188" s="33">
        <f>IF(E188="","",VLOOKUP(E188,'Base Datos'!$A$2:$M$150,3,FALSE))</f>
        <v>48</v>
      </c>
      <c r="N188" s="23">
        <f>IF(E188="","",VLOOKUP(E188,'Base Datos'!$A$2:$M$150,4,FALSE))</f>
        <v>75</v>
      </c>
      <c r="O188" s="23">
        <f>IF(E188="","",VLOOKUP(E188,'Base Datos'!$A$2:$M$150,5,FALSE))</f>
        <v>48</v>
      </c>
      <c r="P188" s="23">
        <f>IF(E188="","",VLOOKUP(E188,'Base Datos'!$A$2:$M$150,6,FALSE))</f>
        <v>600</v>
      </c>
      <c r="Q188" s="23">
        <f>IF(E188="","",VLOOKUP(E188,'Base Datos'!$A$2:$M$150,7,FALSE))</f>
        <v>1</v>
      </c>
      <c r="R188" s="40">
        <f>IF(E188="","",VLOOKUP(E188,'Base Datos'!$A$2:$M$150,8,FALSE))</f>
        <v>115</v>
      </c>
      <c r="S188" s="40" t="str">
        <f>IF(E188="","",VLOOKUP(E188,'Base Datos'!$A$2:$M$150,9,FALSE))</f>
        <v>PP</v>
      </c>
      <c r="T188" s="33">
        <f>IF(E188="","",(H188*I188)-(J188+K188))</f>
        <v>431</v>
      </c>
      <c r="U188" s="33">
        <f>IF(E188="","",(I188*R188)/1000)</f>
        <v>0.115</v>
      </c>
      <c r="V188" s="123">
        <f>IF(G188="",0,(G188*H188)/3600)</f>
        <v>5.7886111111111109</v>
      </c>
      <c r="W188" s="45">
        <f>IFERROR(IF(E188="","",(H188/P188)),0)</f>
        <v>0.76333333333333331</v>
      </c>
      <c r="X188" s="94">
        <f>WEEKDAY(A188,1)</f>
        <v>2</v>
      </c>
      <c r="Y188" s="120">
        <f>MONTH(A188)</f>
        <v>7</v>
      </c>
      <c r="Z188" s="125">
        <f>WEEKNUM(A188)-WEEKNUM(DATE(YEAR(A188),MONTH(A188),1))+1</f>
        <v>3</v>
      </c>
      <c r="AA188" s="126">
        <f>IF(V188="",0,V188/8)</f>
        <v>0.72357638888888887</v>
      </c>
      <c r="AB188" s="125">
        <f>IF(E188="02PZ03405",0,1)</f>
        <v>1</v>
      </c>
    </row>
    <row r="189" spans="1:28" x14ac:dyDescent="0.2">
      <c r="A189" s="101">
        <v>44748</v>
      </c>
      <c r="B189" s="96" t="s">
        <v>34</v>
      </c>
      <c r="C189" s="96" t="s">
        <v>88</v>
      </c>
      <c r="D189" s="38">
        <v>3</v>
      </c>
      <c r="E189" s="39" t="s">
        <v>54</v>
      </c>
      <c r="F189" s="95" t="str">
        <f>IF(E189="","",VLOOKUP(E189,'Base Datos'!$A$2:$M$150,2,FALSE))</f>
        <v>Mate Marwal</v>
      </c>
      <c r="G189" s="99">
        <v>54</v>
      </c>
      <c r="H189" s="99">
        <v>439</v>
      </c>
      <c r="I189" s="99">
        <v>1</v>
      </c>
      <c r="J189" s="99">
        <v>5</v>
      </c>
      <c r="K189" s="39">
        <v>2</v>
      </c>
      <c r="L189" s="39">
        <v>183471</v>
      </c>
      <c r="M189" s="97">
        <f>IF(E189="","",VLOOKUP(E189,'Base Datos'!$A$2:$M$150,3,FALSE))</f>
        <v>48</v>
      </c>
      <c r="N189" s="40">
        <f>IF(E189="","",VLOOKUP(E189,'Base Datos'!$A$2:$M$150,4,FALSE))</f>
        <v>75</v>
      </c>
      <c r="O189" s="40">
        <f>IF(E189="","",VLOOKUP(E189,'Base Datos'!$A$2:$M$150,5,FALSE))</f>
        <v>48</v>
      </c>
      <c r="P189" s="40">
        <f>IF(E189="","",VLOOKUP(E189,'Base Datos'!$A$2:$M$150,6,FALSE))</f>
        <v>600</v>
      </c>
      <c r="Q189" s="40">
        <f>IF(E189="","",VLOOKUP(E189,'Base Datos'!$A$2:$M$150,7,FALSE))</f>
        <v>1</v>
      </c>
      <c r="R189" s="40">
        <f>IF(E189="","",VLOOKUP(E189,'Base Datos'!$A$2:$M$150,8,FALSE))</f>
        <v>115</v>
      </c>
      <c r="S189" s="40" t="str">
        <f>IF(E189="","",VLOOKUP(E189,'Base Datos'!$A$2:$M$150,9,FALSE))</f>
        <v>PP</v>
      </c>
      <c r="T189" s="97">
        <f>IF(E189="","",(H189*I189)-(J189+K189))</f>
        <v>432</v>
      </c>
      <c r="U189" s="98">
        <f>IF(E189="","",(H189*R189)/1000)</f>
        <v>50.484999999999999</v>
      </c>
      <c r="V189" s="123">
        <f>IF(G189="",0,(G189*H189)/3600)</f>
        <v>6.585</v>
      </c>
      <c r="W189" s="45">
        <f>IFERROR(IF(E189="","",(H189/P189)),0)</f>
        <v>0.73166666666666669</v>
      </c>
      <c r="X189" s="94">
        <f>WEEKDAY(A189,1)</f>
        <v>4</v>
      </c>
      <c r="Y189" s="120">
        <f>MONTH(A189)</f>
        <v>7</v>
      </c>
      <c r="Z189" s="125">
        <f>WEEKNUM(A189)-WEEKNUM(DATE(YEAR(A189),MONTH(A189),1))+1</f>
        <v>2</v>
      </c>
      <c r="AA189" s="126">
        <f>IF(V189="",0,V189/8)</f>
        <v>0.823125</v>
      </c>
      <c r="AB189" s="125">
        <f>IF(E189="02PZ03405",0,1)</f>
        <v>1</v>
      </c>
    </row>
    <row r="190" spans="1:28" x14ac:dyDescent="0.2">
      <c r="A190" s="37">
        <v>44769</v>
      </c>
      <c r="B190" s="31" t="s">
        <v>87</v>
      </c>
      <c r="C190" s="31" t="s">
        <v>93</v>
      </c>
      <c r="D190" s="38">
        <v>2</v>
      </c>
      <c r="E190" s="39" t="s">
        <v>54</v>
      </c>
      <c r="F190" s="33" t="str">
        <f>IF(E190="","",VLOOKUP(E190,'Base Datos'!$A$2:$M$150,2,FALSE))</f>
        <v>Mate Marwal</v>
      </c>
      <c r="G190" s="99">
        <v>47</v>
      </c>
      <c r="H190" s="102">
        <v>357</v>
      </c>
      <c r="I190" s="32">
        <v>7</v>
      </c>
      <c r="J190" s="32"/>
      <c r="K190" s="31">
        <v>5</v>
      </c>
      <c r="L190" s="39">
        <v>184975</v>
      </c>
      <c r="M190" s="33">
        <f>IF(E190="","",VLOOKUP(E190,'Base Datos'!$A$2:$M$150,3,FALSE))</f>
        <v>48</v>
      </c>
      <c r="N190" s="23">
        <f>IF(E190="","",VLOOKUP(E190,'Base Datos'!$A$2:$M$150,4,FALSE))</f>
        <v>75</v>
      </c>
      <c r="O190" s="23">
        <f>IF(E190="","",VLOOKUP(E190,'Base Datos'!$A$2:$M$150,5,FALSE))</f>
        <v>48</v>
      </c>
      <c r="P190" s="23">
        <f>IF(E190="","",VLOOKUP(E190,'Base Datos'!$A$2:$M$150,6,FALSE))</f>
        <v>600</v>
      </c>
      <c r="Q190" s="23">
        <f>IF(E190="","",VLOOKUP(E190,'Base Datos'!$A$2:$M$150,7,FALSE))</f>
        <v>1</v>
      </c>
      <c r="R190" s="40">
        <f>IF(E190="","",VLOOKUP(E190,'Base Datos'!$A$2:$M$150,8,FALSE))</f>
        <v>115</v>
      </c>
      <c r="S190" s="40" t="str">
        <f>IF(E190="","",VLOOKUP(E190,'Base Datos'!$A$2:$M$150,9,FALSE))</f>
        <v>PP</v>
      </c>
      <c r="T190" s="33">
        <f>IF(E190="","",(H190*I190)-(J190+K190))</f>
        <v>2494</v>
      </c>
      <c r="U190" s="33">
        <f>IF(E190="","",(I190*R190)/1000)</f>
        <v>0.80500000000000005</v>
      </c>
      <c r="V190" s="123">
        <f>IF(G190="",0,(G190*H190)/3600)</f>
        <v>4.6608333333333336</v>
      </c>
      <c r="W190" s="45">
        <f>IFERROR(IF(E190="","",(H190/P190)),0)</f>
        <v>0.59499999999999997</v>
      </c>
      <c r="X190" s="94">
        <f>WEEKDAY(A190,1)</f>
        <v>4</v>
      </c>
      <c r="Y190" s="120">
        <f>MONTH(A190)</f>
        <v>7</v>
      </c>
      <c r="Z190" s="125">
        <f>WEEKNUM(A190)-WEEKNUM(DATE(YEAR(A190),MONTH(A190),1))+1</f>
        <v>5</v>
      </c>
      <c r="AA190" s="126">
        <f>IF(V190="",0,V190/8)</f>
        <v>0.5826041666666667</v>
      </c>
      <c r="AB190" s="125">
        <f>IF(E190="02PZ03405",0,1)</f>
        <v>1</v>
      </c>
    </row>
    <row r="191" spans="1:28" x14ac:dyDescent="0.2">
      <c r="A191" s="37">
        <v>44768</v>
      </c>
      <c r="B191" s="31" t="s">
        <v>87</v>
      </c>
      <c r="C191" s="31" t="s">
        <v>93</v>
      </c>
      <c r="D191" s="38">
        <v>2</v>
      </c>
      <c r="E191" s="39" t="s">
        <v>54</v>
      </c>
      <c r="F191" s="33" t="str">
        <f>IF(E191="","",VLOOKUP(E191,'Base Datos'!$A$2:$M$150,2,FALSE))</f>
        <v>Mate Marwal</v>
      </c>
      <c r="G191" s="99">
        <v>45</v>
      </c>
      <c r="H191" s="102">
        <v>530</v>
      </c>
      <c r="I191" s="32">
        <v>1</v>
      </c>
      <c r="J191" s="32">
        <v>0</v>
      </c>
      <c r="K191" s="31">
        <v>10</v>
      </c>
      <c r="L191" s="39">
        <v>184975</v>
      </c>
      <c r="M191" s="33">
        <f>IF(E191="","",VLOOKUP(E191,'Base Datos'!$A$2:$M$150,3,FALSE))</f>
        <v>48</v>
      </c>
      <c r="N191" s="23">
        <f>IF(E191="","",VLOOKUP(E191,'Base Datos'!$A$2:$M$150,4,FALSE))</f>
        <v>75</v>
      </c>
      <c r="O191" s="23">
        <f>IF(E191="","",VLOOKUP(E191,'Base Datos'!$A$2:$M$150,5,FALSE))</f>
        <v>48</v>
      </c>
      <c r="P191" s="23">
        <f>IF(E191="","",VLOOKUP(E191,'Base Datos'!$A$2:$M$150,6,FALSE))</f>
        <v>600</v>
      </c>
      <c r="Q191" s="23">
        <f>IF(E191="","",VLOOKUP(E191,'Base Datos'!$A$2:$M$150,7,FALSE))</f>
        <v>1</v>
      </c>
      <c r="R191" s="40">
        <f>IF(E191="","",VLOOKUP(E191,'Base Datos'!$A$2:$M$150,8,FALSE))</f>
        <v>115</v>
      </c>
      <c r="S191" s="40" t="str">
        <f>IF(E191="","",VLOOKUP(E191,'Base Datos'!$A$2:$M$150,9,FALSE))</f>
        <v>PP</v>
      </c>
      <c r="T191" s="33">
        <f>IF(E191="","",(H191*I191)-(J191+K191))</f>
        <v>520</v>
      </c>
      <c r="U191" s="33">
        <f>IF(E191="","",(I191*R191)/1000)</f>
        <v>0.115</v>
      </c>
      <c r="V191" s="123">
        <f>IF(G191="",0,(G191*H191)/3600)</f>
        <v>6.625</v>
      </c>
      <c r="W191" s="45">
        <f>IFERROR(IF(E191="","",(H191/P191)),0)</f>
        <v>0.8833333333333333</v>
      </c>
      <c r="X191" s="94">
        <f>WEEKDAY(A191,1)</f>
        <v>3</v>
      </c>
      <c r="Y191" s="120">
        <f>MONTH(A191)</f>
        <v>7</v>
      </c>
      <c r="Z191" s="125">
        <f>WEEKNUM(A191)-WEEKNUM(DATE(YEAR(A191),MONTH(A191),1))+1</f>
        <v>5</v>
      </c>
      <c r="AA191" s="126">
        <f>IF(V191="",0,V191/8)</f>
        <v>0.828125</v>
      </c>
      <c r="AB191" s="125">
        <f>IF(E191="02PZ03405",0,1)</f>
        <v>1</v>
      </c>
    </row>
    <row r="192" spans="1:28" x14ac:dyDescent="0.2">
      <c r="A192" s="37">
        <v>44767</v>
      </c>
      <c r="B192" s="31" t="s">
        <v>87</v>
      </c>
      <c r="C192" s="31" t="s">
        <v>93</v>
      </c>
      <c r="D192" s="38">
        <v>2</v>
      </c>
      <c r="E192" s="39" t="s">
        <v>54</v>
      </c>
      <c r="F192" s="33" t="str">
        <f>IF(E192="","",VLOOKUP(E192,'Base Datos'!$A$2:$M$150,2,FALSE))</f>
        <v>Mate Marwal</v>
      </c>
      <c r="G192" s="99">
        <v>49</v>
      </c>
      <c r="H192" s="102">
        <v>610</v>
      </c>
      <c r="I192" s="32">
        <v>1</v>
      </c>
      <c r="J192" s="32">
        <v>5</v>
      </c>
      <c r="K192" s="31">
        <v>8</v>
      </c>
      <c r="L192" s="39">
        <v>184975</v>
      </c>
      <c r="M192" s="33">
        <f>IF(E192="","",VLOOKUP(E192,'Base Datos'!$A$2:$M$150,3,FALSE))</f>
        <v>48</v>
      </c>
      <c r="N192" s="23">
        <f>IF(E192="","",VLOOKUP(E192,'Base Datos'!$A$2:$M$150,4,FALSE))</f>
        <v>75</v>
      </c>
      <c r="O192" s="23">
        <f>IF(E192="","",VLOOKUP(E192,'Base Datos'!$A$2:$M$150,5,FALSE))</f>
        <v>48</v>
      </c>
      <c r="P192" s="23">
        <f>IF(E192="","",VLOOKUP(E192,'Base Datos'!$A$2:$M$150,6,FALSE))</f>
        <v>600</v>
      </c>
      <c r="Q192" s="23">
        <f>IF(E192="","",VLOOKUP(E192,'Base Datos'!$A$2:$M$150,7,FALSE))</f>
        <v>1</v>
      </c>
      <c r="R192" s="40">
        <f>IF(E192="","",VLOOKUP(E192,'Base Datos'!$A$2:$M$150,8,FALSE))</f>
        <v>115</v>
      </c>
      <c r="S192" s="40" t="str">
        <f>IF(E192="","",VLOOKUP(E192,'Base Datos'!$A$2:$M$150,9,FALSE))</f>
        <v>PP</v>
      </c>
      <c r="T192" s="33">
        <f>IF(E192="","",(H192*I192)-(J192+K192))</f>
        <v>597</v>
      </c>
      <c r="U192" s="33">
        <f>IF(E192="","",(I192*R192)/1000)</f>
        <v>0.115</v>
      </c>
      <c r="V192" s="123">
        <f>IF(G192="",0,(G192*H192)/3600)</f>
        <v>8.3027777777777771</v>
      </c>
      <c r="W192" s="45">
        <f>IFERROR(IF(E192="","",(H192/P192)),0)</f>
        <v>1.0166666666666666</v>
      </c>
      <c r="X192" s="94">
        <f>WEEKDAY(A192,1)</f>
        <v>2</v>
      </c>
      <c r="Y192" s="120">
        <f>MONTH(A192)</f>
        <v>7</v>
      </c>
      <c r="Z192" s="125">
        <f>WEEKNUM(A192)-WEEKNUM(DATE(YEAR(A192),MONTH(A192),1))+1</f>
        <v>5</v>
      </c>
      <c r="AA192" s="126">
        <f>IF(V192="",0,V192/8)</f>
        <v>1.0378472222222221</v>
      </c>
      <c r="AB192" s="125">
        <f>IF(E192="02PZ03405",0,1)</f>
        <v>1</v>
      </c>
    </row>
    <row r="193" spans="1:28" x14ac:dyDescent="0.2">
      <c r="A193" s="37">
        <v>44764</v>
      </c>
      <c r="B193" s="31" t="s">
        <v>87</v>
      </c>
      <c r="C193" s="31" t="s">
        <v>93</v>
      </c>
      <c r="D193" s="38">
        <v>2</v>
      </c>
      <c r="E193" s="39" t="s">
        <v>54</v>
      </c>
      <c r="F193" s="33" t="str">
        <f>IF(E193="","",VLOOKUP(E193,'Base Datos'!$A$2:$M$150,2,FALSE))</f>
        <v>Mate Marwal</v>
      </c>
      <c r="G193" s="99">
        <v>51</v>
      </c>
      <c r="H193" s="102">
        <v>535</v>
      </c>
      <c r="I193" s="32">
        <v>1</v>
      </c>
      <c r="J193" s="32"/>
      <c r="K193" s="31">
        <v>5</v>
      </c>
      <c r="L193" s="39">
        <v>184975</v>
      </c>
      <c r="M193" s="33">
        <f>IF(E193="","",VLOOKUP(E193,'Base Datos'!$A$2:$M$150,3,FALSE))</f>
        <v>48</v>
      </c>
      <c r="N193" s="23">
        <f>IF(E193="","",VLOOKUP(E193,'Base Datos'!$A$2:$M$150,4,FALSE))</f>
        <v>75</v>
      </c>
      <c r="O193" s="23">
        <f>IF(E193="","",VLOOKUP(E193,'Base Datos'!$A$2:$M$150,5,FALSE))</f>
        <v>48</v>
      </c>
      <c r="P193" s="23">
        <f>IF(E193="","",VLOOKUP(E193,'Base Datos'!$A$2:$M$150,6,FALSE))</f>
        <v>600</v>
      </c>
      <c r="Q193" s="23">
        <f>IF(E193="","",VLOOKUP(E193,'Base Datos'!$A$2:$M$150,7,FALSE))</f>
        <v>1</v>
      </c>
      <c r="R193" s="40">
        <f>IF(E193="","",VLOOKUP(E193,'Base Datos'!$A$2:$M$150,8,FALSE))</f>
        <v>115</v>
      </c>
      <c r="S193" s="40" t="str">
        <f>IF(E193="","",VLOOKUP(E193,'Base Datos'!$A$2:$M$150,9,FALSE))</f>
        <v>PP</v>
      </c>
      <c r="T193" s="33">
        <f>IF(E193="","",(H193*I193)-(J193+K193))</f>
        <v>530</v>
      </c>
      <c r="U193" s="33">
        <f>IF(E193="","",(I193*R193)/1000)</f>
        <v>0.115</v>
      </c>
      <c r="V193" s="123">
        <f>IF(G193="",0,(G193*H193)/3600)</f>
        <v>7.5791666666666666</v>
      </c>
      <c r="W193" s="45">
        <f>IFERROR(IF(E193="","",(H193/P193)),0)</f>
        <v>0.89166666666666672</v>
      </c>
      <c r="X193" s="94">
        <f>WEEKDAY(A193,1)</f>
        <v>6</v>
      </c>
      <c r="Y193" s="120">
        <f>MONTH(A193)</f>
        <v>7</v>
      </c>
      <c r="Z193" s="125">
        <f>WEEKNUM(A193)-WEEKNUM(DATE(YEAR(A193),MONTH(A193),1))+1</f>
        <v>4</v>
      </c>
      <c r="AA193" s="126">
        <f>IF(V193="",0,V193/8)</f>
        <v>0.94739583333333333</v>
      </c>
      <c r="AB193" s="125">
        <f>IF(E193="02PZ03405",0,1)</f>
        <v>1</v>
      </c>
    </row>
    <row r="194" spans="1:28" x14ac:dyDescent="0.2">
      <c r="A194" s="37">
        <v>44753</v>
      </c>
      <c r="B194" s="31" t="s">
        <v>87</v>
      </c>
      <c r="C194" s="31" t="s">
        <v>93</v>
      </c>
      <c r="D194" s="38">
        <v>3</v>
      </c>
      <c r="E194" s="39" t="s">
        <v>54</v>
      </c>
      <c r="F194" s="33" t="str">
        <f>IF(E194="","",VLOOKUP(E194,'Base Datos'!$A$2:$M$150,2,FALSE))</f>
        <v>Mate Marwal</v>
      </c>
      <c r="G194" s="99">
        <v>45</v>
      </c>
      <c r="H194" s="102">
        <v>555</v>
      </c>
      <c r="I194" s="32">
        <v>1</v>
      </c>
      <c r="J194" s="32">
        <v>3</v>
      </c>
      <c r="K194" s="31">
        <v>7</v>
      </c>
      <c r="L194" s="39">
        <v>184706</v>
      </c>
      <c r="M194" s="33">
        <f>IF(E194="","",VLOOKUP(E194,'Base Datos'!$A$2:$M$150,3,FALSE))</f>
        <v>48</v>
      </c>
      <c r="N194" s="23">
        <f>IF(E194="","",VLOOKUP(E194,'Base Datos'!$A$2:$M$150,4,FALSE))</f>
        <v>75</v>
      </c>
      <c r="O194" s="23">
        <f>IF(E194="","",VLOOKUP(E194,'Base Datos'!$A$2:$M$150,5,FALSE))</f>
        <v>48</v>
      </c>
      <c r="P194" s="23">
        <f>IF(E194="","",VLOOKUP(E194,'Base Datos'!$A$2:$M$150,6,FALSE))</f>
        <v>600</v>
      </c>
      <c r="Q194" s="23">
        <f>IF(E194="","",VLOOKUP(E194,'Base Datos'!$A$2:$M$150,7,FALSE))</f>
        <v>1</v>
      </c>
      <c r="R194" s="40">
        <f>IF(E194="","",VLOOKUP(E194,'Base Datos'!$A$2:$M$150,8,FALSE))</f>
        <v>115</v>
      </c>
      <c r="S194" s="40" t="str">
        <f>IF(E194="","",VLOOKUP(E194,'Base Datos'!$A$2:$M$150,9,FALSE))</f>
        <v>PP</v>
      </c>
      <c r="T194" s="33">
        <f>IF(E194="","",(H194*I194)-(J194+K194))</f>
        <v>545</v>
      </c>
      <c r="U194" s="33">
        <f>IF(E194="","",(I194*R194)/1000)</f>
        <v>0.115</v>
      </c>
      <c r="V194" s="123">
        <f>IF(G194="",0,(G194*H194)/3600)</f>
        <v>6.9375</v>
      </c>
      <c r="W194" s="45">
        <f>IFERROR(IF(E194="","",(H194/P194)),0)</f>
        <v>0.92500000000000004</v>
      </c>
      <c r="X194" s="94">
        <f>WEEKDAY(A194,1)</f>
        <v>2</v>
      </c>
      <c r="Y194" s="120">
        <f>MONTH(A194)</f>
        <v>7</v>
      </c>
      <c r="Z194" s="125">
        <f>WEEKNUM(A194)-WEEKNUM(DATE(YEAR(A194),MONTH(A194),1))+1</f>
        <v>3</v>
      </c>
      <c r="AA194" s="126">
        <f>IF(V194="",0,V194/8)</f>
        <v>0.8671875</v>
      </c>
      <c r="AB194" s="125">
        <f>IF(E194="02PZ03405",0,1)</f>
        <v>1</v>
      </c>
    </row>
    <row r="195" spans="1:28" x14ac:dyDescent="0.2">
      <c r="A195" s="37">
        <v>44750</v>
      </c>
      <c r="B195" s="31" t="s">
        <v>87</v>
      </c>
      <c r="C195" s="31" t="s">
        <v>93</v>
      </c>
      <c r="D195" s="38">
        <v>3</v>
      </c>
      <c r="E195" s="39" t="s">
        <v>54</v>
      </c>
      <c r="F195" s="33" t="str">
        <f>IF(E195="","",VLOOKUP(E195,'Base Datos'!$A$2:$M$150,2,FALSE))</f>
        <v>Mate Marwal</v>
      </c>
      <c r="G195" s="32">
        <v>52</v>
      </c>
      <c r="H195" s="102">
        <v>505</v>
      </c>
      <c r="I195" s="32">
        <v>1</v>
      </c>
      <c r="J195" s="32">
        <v>3</v>
      </c>
      <c r="K195" s="31">
        <v>2</v>
      </c>
      <c r="L195" s="39">
        <v>184706</v>
      </c>
      <c r="M195" s="33">
        <f>IF(E195="","",VLOOKUP(E195,'Base Datos'!$A$2:$M$150,3,FALSE))</f>
        <v>48</v>
      </c>
      <c r="N195" s="23">
        <f>IF(E195="","",VLOOKUP(E195,'Base Datos'!$A$2:$M$150,4,FALSE))</f>
        <v>75</v>
      </c>
      <c r="O195" s="23">
        <f>IF(E195="","",VLOOKUP(E195,'Base Datos'!$A$2:$M$150,5,FALSE))</f>
        <v>48</v>
      </c>
      <c r="P195" s="23">
        <f>IF(E195="","",VLOOKUP(E195,'Base Datos'!$A$2:$M$150,6,FALSE))</f>
        <v>600</v>
      </c>
      <c r="Q195" s="23">
        <f>IF(E195="","",VLOOKUP(E195,'Base Datos'!$A$2:$M$150,7,FALSE))</f>
        <v>1</v>
      </c>
      <c r="R195" s="40">
        <f>IF(E195="","",VLOOKUP(E195,'Base Datos'!$A$2:$M$150,8,FALSE))</f>
        <v>115</v>
      </c>
      <c r="S195" s="40" t="str">
        <f>IF(E195="","",VLOOKUP(E195,'Base Datos'!$A$2:$M$150,9,FALSE))</f>
        <v>PP</v>
      </c>
      <c r="T195" s="33">
        <f>IF(E195="","",(H195*I195)-(J195+K195))</f>
        <v>500</v>
      </c>
      <c r="U195" s="33">
        <f>IF(E195="","",(I195*R195)/1000)</f>
        <v>0.115</v>
      </c>
      <c r="V195" s="123">
        <f>IF(G195="",0,(G195*H195)/3600)</f>
        <v>7.2944444444444443</v>
      </c>
      <c r="W195" s="45">
        <f>IFERROR(IF(E195="","",(H195/P195)),0)</f>
        <v>0.84166666666666667</v>
      </c>
      <c r="X195" s="94">
        <f>WEEKDAY(A195,1)</f>
        <v>6</v>
      </c>
      <c r="Y195" s="120">
        <f>MONTH(A195)</f>
        <v>7</v>
      </c>
      <c r="Z195" s="125">
        <f>WEEKNUM(A195)-WEEKNUM(DATE(YEAR(A195),MONTH(A195),1))+1</f>
        <v>2</v>
      </c>
      <c r="AA195" s="126">
        <f>IF(V195="",0,V195/8)</f>
        <v>0.91180555555555554</v>
      </c>
      <c r="AB195" s="125">
        <f>IF(E195="02PZ03405",0,1)</f>
        <v>1</v>
      </c>
    </row>
    <row r="196" spans="1:28" x14ac:dyDescent="0.2">
      <c r="A196" s="101">
        <v>44749</v>
      </c>
      <c r="B196" s="31" t="s">
        <v>87</v>
      </c>
      <c r="C196" s="31" t="s">
        <v>93</v>
      </c>
      <c r="D196" s="38">
        <v>3</v>
      </c>
      <c r="E196" s="39" t="s">
        <v>54</v>
      </c>
      <c r="F196" s="33" t="str">
        <f>IF(E196="","",VLOOKUP(E196,'Base Datos'!$A$2:$M$150,2,FALSE))</f>
        <v>Mate Marwal</v>
      </c>
      <c r="G196" s="32">
        <v>53</v>
      </c>
      <c r="H196" s="32">
        <v>498</v>
      </c>
      <c r="I196" s="32">
        <v>1</v>
      </c>
      <c r="J196" s="32">
        <v>4</v>
      </c>
      <c r="K196" s="31">
        <v>3</v>
      </c>
      <c r="L196" s="39">
        <v>183471</v>
      </c>
      <c r="M196" s="33">
        <f>IF(E196="","",VLOOKUP(E196,'Base Datos'!$A$2:$M$150,3,FALSE))</f>
        <v>48</v>
      </c>
      <c r="N196" s="23">
        <f>IF(E196="","",VLOOKUP(E196,'Base Datos'!$A$2:$M$150,4,FALSE))</f>
        <v>75</v>
      </c>
      <c r="O196" s="23">
        <f>IF(E196="","",VLOOKUP(E196,'Base Datos'!$A$2:$M$150,5,FALSE))</f>
        <v>48</v>
      </c>
      <c r="P196" s="23">
        <f>IF(E196="","",VLOOKUP(E196,'Base Datos'!$A$2:$M$150,6,FALSE))</f>
        <v>600</v>
      </c>
      <c r="Q196" s="23">
        <f>IF(E196="","",VLOOKUP(E196,'Base Datos'!$A$2:$M$150,7,FALSE))</f>
        <v>1</v>
      </c>
      <c r="R196" s="40">
        <f>IF(E196="","",VLOOKUP(E196,'Base Datos'!$A$2:$M$150,8,FALSE))</f>
        <v>115</v>
      </c>
      <c r="S196" s="40" t="str">
        <f>IF(E196="","",VLOOKUP(E196,'Base Datos'!$A$2:$M$150,9,FALSE))</f>
        <v>PP</v>
      </c>
      <c r="T196" s="33">
        <f>IF(E196="","",(H196*I196)-(J196+K196))</f>
        <v>491</v>
      </c>
      <c r="U196" s="33">
        <f>IF(E196="","",(H196*R196)/1000)</f>
        <v>57.27</v>
      </c>
      <c r="V196" s="123">
        <f>IF(G196="",0,(G196*H196)/3600)</f>
        <v>7.331666666666667</v>
      </c>
      <c r="W196" s="45">
        <f>IFERROR(IF(E196="","",(H196/P196)),0)</f>
        <v>0.83</v>
      </c>
      <c r="X196" s="94">
        <f>WEEKDAY(A196,1)</f>
        <v>5</v>
      </c>
      <c r="Y196" s="120">
        <f>MONTH(A196)</f>
        <v>7</v>
      </c>
      <c r="Z196" s="125">
        <f>WEEKNUM(A196)-WEEKNUM(DATE(YEAR(A196),MONTH(A196),1))+1</f>
        <v>2</v>
      </c>
      <c r="AA196" s="126">
        <f>IF(V196="",0,V196/8)</f>
        <v>0.91645833333333337</v>
      </c>
      <c r="AB196" s="125">
        <f>IF(E196="02PZ03405",0,1)</f>
        <v>1</v>
      </c>
    </row>
    <row r="197" spans="1:28" x14ac:dyDescent="0.2">
      <c r="A197" s="101">
        <v>44748</v>
      </c>
      <c r="B197" s="96" t="s">
        <v>87</v>
      </c>
      <c r="C197" s="96" t="s">
        <v>93</v>
      </c>
      <c r="D197" s="38">
        <v>3</v>
      </c>
      <c r="E197" s="39" t="s">
        <v>54</v>
      </c>
      <c r="F197" s="95" t="str">
        <f>IF(E197="","",VLOOKUP(E197,'Base Datos'!$A$2:$M$150,2,FALSE))</f>
        <v>Mate Marwal</v>
      </c>
      <c r="G197" s="99">
        <v>54</v>
      </c>
      <c r="H197" s="99">
        <v>535</v>
      </c>
      <c r="I197" s="99">
        <v>1</v>
      </c>
      <c r="J197" s="99">
        <v>15</v>
      </c>
      <c r="K197" s="39">
        <v>2</v>
      </c>
      <c r="L197" s="39">
        <v>183475</v>
      </c>
      <c r="M197" s="97">
        <f>IF(E197="","",VLOOKUP(E197,'Base Datos'!$A$2:$M$150,3,FALSE))</f>
        <v>48</v>
      </c>
      <c r="N197" s="40">
        <f>IF(E197="","",VLOOKUP(E197,'Base Datos'!$A$2:$M$150,4,FALSE))</f>
        <v>75</v>
      </c>
      <c r="O197" s="40">
        <f>IF(E197="","",VLOOKUP(E197,'Base Datos'!$A$2:$M$150,5,FALSE))</f>
        <v>48</v>
      </c>
      <c r="P197" s="40">
        <f>IF(E197="","",VLOOKUP(E197,'Base Datos'!$A$2:$M$150,6,FALSE))</f>
        <v>600</v>
      </c>
      <c r="Q197" s="40">
        <f>IF(E197="","",VLOOKUP(E197,'Base Datos'!$A$2:$M$150,7,FALSE))</f>
        <v>1</v>
      </c>
      <c r="R197" s="40">
        <f>IF(E197="","",VLOOKUP(E197,'Base Datos'!$A$2:$M$150,8,FALSE))</f>
        <v>115</v>
      </c>
      <c r="S197" s="40" t="str">
        <f>IF(E197="","",VLOOKUP(E197,'Base Datos'!$A$2:$M$150,9,FALSE))</f>
        <v>PP</v>
      </c>
      <c r="T197" s="97">
        <f>IF(E197="","",(H197*I197)-(J197+K197))</f>
        <v>518</v>
      </c>
      <c r="U197" s="98">
        <f>IF(E197="","",(H197*R197)/1000)</f>
        <v>61.524999999999999</v>
      </c>
      <c r="V197" s="123">
        <f>IF(G197="",0,(G197*H197)/3600)</f>
        <v>8.0250000000000004</v>
      </c>
      <c r="W197" s="45">
        <f>IFERROR(IF(E197="","",(H197/P197)),0)</f>
        <v>0.89166666666666672</v>
      </c>
      <c r="X197" s="94">
        <f>WEEKDAY(A197,1)</f>
        <v>4</v>
      </c>
      <c r="Y197" s="120">
        <f>MONTH(A197)</f>
        <v>7</v>
      </c>
      <c r="Z197" s="125">
        <f>WEEKNUM(A197)-WEEKNUM(DATE(YEAR(A197),MONTH(A197),1))+1</f>
        <v>2</v>
      </c>
      <c r="AA197" s="126">
        <f>IF(V197="",0,V197/8)</f>
        <v>1.003125</v>
      </c>
      <c r="AB197" s="125">
        <f>IF(E197="02PZ03405",0,1)</f>
        <v>1</v>
      </c>
    </row>
    <row r="198" spans="1:28" x14ac:dyDescent="0.2">
      <c r="A198" s="101">
        <v>44748</v>
      </c>
      <c r="B198" s="96" t="s">
        <v>87</v>
      </c>
      <c r="C198" s="96" t="s">
        <v>93</v>
      </c>
      <c r="D198" s="38">
        <v>2</v>
      </c>
      <c r="E198" s="39" t="s">
        <v>43</v>
      </c>
      <c r="F198" s="95" t="str">
        <f>IF(E197="","",VLOOKUP(E197,'Base Datos'!$A$2:$M$150,2,FALSE))</f>
        <v>Mate Marwal</v>
      </c>
      <c r="G198" s="99">
        <v>52</v>
      </c>
      <c r="H198" s="99">
        <v>509</v>
      </c>
      <c r="I198" s="99">
        <v>1</v>
      </c>
      <c r="J198" s="99">
        <v>4</v>
      </c>
      <c r="K198" s="39">
        <v>2</v>
      </c>
      <c r="L198" s="39">
        <v>183475</v>
      </c>
      <c r="M198" s="97">
        <f>IF(E198="","",VLOOKUP(E198,'Base Datos'!$A$2:$M$150,3,FALSE))</f>
        <v>57.4</v>
      </c>
      <c r="N198" s="40">
        <f>IF(E198="","",VLOOKUP(E198,'Base Datos'!$A$2:$M$150,4,FALSE))</f>
        <v>63</v>
      </c>
      <c r="O198" s="40">
        <f>IF(E198="","",VLOOKUP(E198,'Base Datos'!$A$2:$M$150,5,FALSE))</f>
        <v>57.4</v>
      </c>
      <c r="P198" s="40">
        <f>IF(E198="","",VLOOKUP(E198,'Base Datos'!$A$2:$M$150,6,FALSE))</f>
        <v>502</v>
      </c>
      <c r="Q198" s="40">
        <f>IF(E198="","",VLOOKUP(E198,'Base Datos'!$A$2:$M$150,7,FALSE))</f>
        <v>1</v>
      </c>
      <c r="R198" s="40">
        <f>IF(E198="","",VLOOKUP(E198,'Base Datos'!$A$2:$M$150,8,FALSE))</f>
        <v>120</v>
      </c>
      <c r="S198" s="40" t="str">
        <f>IF(E198="","",VLOOKUP(E198,'Base Datos'!$A$2:$M$150,9,FALSE))</f>
        <v>PP</v>
      </c>
      <c r="T198" s="97">
        <f>IF(E198="","",(H198*I198)-(J198+K198))</f>
        <v>503</v>
      </c>
      <c r="U198" s="98">
        <f>IF(E198="","",(H198*R198)/1000)</f>
        <v>61.08</v>
      </c>
      <c r="V198" s="123">
        <f>IF(G198="",0,(G198*H198)/3600)</f>
        <v>7.3522222222222222</v>
      </c>
      <c r="W198" s="45">
        <f>IFERROR(IF(E198="","",(H198/P198)),0)</f>
        <v>1.0139442231075697</v>
      </c>
      <c r="X198" s="94">
        <f>WEEKDAY(A198,1)</f>
        <v>4</v>
      </c>
      <c r="Y198" s="120">
        <f>MONTH(A198)</f>
        <v>7</v>
      </c>
      <c r="Z198" s="125">
        <f>WEEKNUM(A198)-WEEKNUM(DATE(YEAR(A198),MONTH(A198),1))+1</f>
        <v>2</v>
      </c>
      <c r="AA198" s="126">
        <f>IF(V198="",0,V198/8)</f>
        <v>0.91902777777777778</v>
      </c>
      <c r="AB198" s="125">
        <f>IF(E198="02PZ03405",0,1)</f>
        <v>1</v>
      </c>
    </row>
    <row r="199" spans="1:28" x14ac:dyDescent="0.2">
      <c r="A199" s="148">
        <v>44746</v>
      </c>
      <c r="B199" s="96" t="s">
        <v>87</v>
      </c>
      <c r="C199" s="96" t="s">
        <v>93</v>
      </c>
      <c r="D199" s="38">
        <v>3</v>
      </c>
      <c r="E199" s="39" t="s">
        <v>54</v>
      </c>
      <c r="F199" s="95" t="str">
        <f>IF(E199="","",VLOOKUP(E199,'Base Datos'!$A$2:$M$150,2,FALSE))</f>
        <v>Mate Marwal</v>
      </c>
      <c r="G199" s="99">
        <v>53</v>
      </c>
      <c r="H199" s="99">
        <v>501</v>
      </c>
      <c r="I199" s="99">
        <v>1</v>
      </c>
      <c r="J199" s="99">
        <v>6</v>
      </c>
      <c r="K199" s="39">
        <v>3</v>
      </c>
      <c r="L199" s="39">
        <v>183471</v>
      </c>
      <c r="M199" s="97">
        <f>IF(E199="","",VLOOKUP(E199,'Base Datos'!$A$2:$M$150,3,FALSE))</f>
        <v>48</v>
      </c>
      <c r="N199" s="40">
        <f>IF(E199="","",VLOOKUP(E199,'Base Datos'!$A$2:$M$150,4,FALSE))</f>
        <v>75</v>
      </c>
      <c r="O199" s="40">
        <f>IF(E199="","",VLOOKUP(E199,'Base Datos'!$A$2:$M$150,5,FALSE))</f>
        <v>48</v>
      </c>
      <c r="P199" s="40">
        <f>IF(E199="","",VLOOKUP(E199,'Base Datos'!$A$2:$M$150,6,FALSE))</f>
        <v>600</v>
      </c>
      <c r="Q199" s="40">
        <f>IF(E199="","",VLOOKUP(E199,'Base Datos'!$A$2:$M$150,7,FALSE))</f>
        <v>1</v>
      </c>
      <c r="R199" s="40">
        <f>IF(E199="","",VLOOKUP(E199,'Base Datos'!$A$2:$M$150,8,FALSE))</f>
        <v>115</v>
      </c>
      <c r="S199" s="40" t="str">
        <f>IF(E199="","",VLOOKUP(E199,'Base Datos'!$A$2:$M$150,9,FALSE))</f>
        <v>PP</v>
      </c>
      <c r="T199" s="97">
        <f>IF(E199="","",(H199*I199)-(J199+K199))</f>
        <v>492</v>
      </c>
      <c r="U199" s="98">
        <f>IF(E199="","",(H199*R199)/1000)</f>
        <v>57.615000000000002</v>
      </c>
      <c r="V199" s="123">
        <f>IF(G199="",0,(G199*H199)/3600)</f>
        <v>7.3758333333333335</v>
      </c>
      <c r="W199" s="45">
        <f>IFERROR(IF(E199="","",(H199/P199)),0)</f>
        <v>0.83499999999999996</v>
      </c>
      <c r="X199" s="94">
        <f>WEEKDAY(A199,1)</f>
        <v>2</v>
      </c>
      <c r="Y199" s="120">
        <f>MONTH(A199)</f>
        <v>7</v>
      </c>
      <c r="Z199" s="125">
        <f>WEEKNUM(A199)-WEEKNUM(DATE(YEAR(A199),MONTH(A199),1))+1</f>
        <v>2</v>
      </c>
      <c r="AA199" s="126">
        <f>IF(V199="",0,V199/8)</f>
        <v>0.92197916666666668</v>
      </c>
      <c r="AB199" s="125">
        <f>IF(E199="02PZ03405",0,1)</f>
        <v>1</v>
      </c>
    </row>
    <row r="200" spans="1:28" x14ac:dyDescent="0.2">
      <c r="A200" s="148">
        <v>44743</v>
      </c>
      <c r="B200" s="96" t="s">
        <v>87</v>
      </c>
      <c r="C200" s="96" t="s">
        <v>93</v>
      </c>
      <c r="D200" s="38">
        <v>3</v>
      </c>
      <c r="E200" s="39" t="s">
        <v>54</v>
      </c>
      <c r="F200" s="95" t="str">
        <f>IF(E200="","",VLOOKUP(E200,'Base Datos'!$A$2:$M$150,2,FALSE))</f>
        <v>Mate Marwal</v>
      </c>
      <c r="G200" s="99">
        <v>45</v>
      </c>
      <c r="H200" s="99">
        <v>503</v>
      </c>
      <c r="I200" s="99">
        <v>1</v>
      </c>
      <c r="J200" s="99">
        <v>6</v>
      </c>
      <c r="K200" s="39">
        <v>3</v>
      </c>
      <c r="L200" s="39">
        <v>184119</v>
      </c>
      <c r="M200" s="97">
        <f>IF(E200="","",VLOOKUP(E200,'Base Datos'!$A$2:$M$150,3,FALSE))</f>
        <v>48</v>
      </c>
      <c r="N200" s="40">
        <f>IF(E200="","",VLOOKUP(E200,'Base Datos'!$A$2:$M$150,4,FALSE))</f>
        <v>75</v>
      </c>
      <c r="O200" s="40">
        <f>IF(E200="","",VLOOKUP(E200,'Base Datos'!$A$2:$M$150,5,FALSE))</f>
        <v>48</v>
      </c>
      <c r="P200" s="40">
        <f>IF(E200="","",VLOOKUP(E200,'Base Datos'!$A$2:$M$150,6,FALSE))</f>
        <v>600</v>
      </c>
      <c r="Q200" s="40">
        <f>IF(E200="","",VLOOKUP(E200,'Base Datos'!$A$2:$M$150,7,FALSE))</f>
        <v>1</v>
      </c>
      <c r="R200" s="40">
        <f>IF(E200="","",VLOOKUP(E200,'Base Datos'!$A$2:$M$150,8,FALSE))</f>
        <v>115</v>
      </c>
      <c r="S200" s="40" t="str">
        <f>IF(E200="","",VLOOKUP(E200,'Base Datos'!$A$2:$M$150,9,FALSE))</f>
        <v>PP</v>
      </c>
      <c r="T200" s="97">
        <f>IF(E200="","",(H200*I200)-(J200+K200))</f>
        <v>494</v>
      </c>
      <c r="U200" s="98">
        <f>IF(E200="","",(H200*R200)/1000)</f>
        <v>57.844999999999999</v>
      </c>
      <c r="V200" s="123">
        <f>IF(G200="",0,(G200*H200)/3600)</f>
        <v>6.2874999999999996</v>
      </c>
      <c r="W200" s="45">
        <f>IFERROR(IF(E200="","",(H200/P200)),0)</f>
        <v>0.83833333333333337</v>
      </c>
      <c r="X200" s="94">
        <f>WEEKDAY(A200,1)</f>
        <v>6</v>
      </c>
      <c r="Y200" s="120">
        <f>MONTH(A200)</f>
        <v>7</v>
      </c>
      <c r="Z200" s="125">
        <f>WEEKNUM(A200)-WEEKNUM(DATE(YEAR(A200),MONTH(A200),1))+1</f>
        <v>1</v>
      </c>
      <c r="AA200" s="126">
        <f>IF(V200="",0,V200/8)</f>
        <v>0.78593749999999996</v>
      </c>
      <c r="AB200" s="125">
        <f>IF(E200="02PZ03405",0,1)</f>
        <v>1</v>
      </c>
    </row>
    <row r="201" spans="1:28" x14ac:dyDescent="0.2">
      <c r="A201" s="37">
        <v>44757</v>
      </c>
      <c r="B201" s="119" t="s">
        <v>34</v>
      </c>
      <c r="C201" s="31" t="s">
        <v>89</v>
      </c>
      <c r="D201" s="38">
        <v>2</v>
      </c>
      <c r="E201" s="39" t="s">
        <v>18</v>
      </c>
      <c r="F201" s="33" t="str">
        <f>IF(E201="","",VLOOKUP(E201,'Base Datos'!$A$2:$M$150,2,FALSE))</f>
        <v>Mate con Dije</v>
      </c>
      <c r="G201" s="99">
        <v>37</v>
      </c>
      <c r="H201" s="102">
        <v>505</v>
      </c>
      <c r="I201" s="32">
        <v>1</v>
      </c>
      <c r="J201" s="32">
        <v>15</v>
      </c>
      <c r="K201" s="31">
        <v>5</v>
      </c>
      <c r="L201" s="39">
        <v>184706</v>
      </c>
      <c r="M201" s="33">
        <f>IF(E201="","",VLOOKUP(E201,'Base Datos'!$A$2:$M$150,3,FALSE))</f>
        <v>51</v>
      </c>
      <c r="N201" s="23">
        <f>IF(E201="","",VLOOKUP(E201,'Base Datos'!$A$2:$M$150,4,FALSE))</f>
        <v>71</v>
      </c>
      <c r="O201" s="23">
        <f>IF(E201="","",VLOOKUP(E201,'Base Datos'!$A$2:$M$150,5,FALSE))</f>
        <v>51</v>
      </c>
      <c r="P201" s="23">
        <f>IF(E201="","",VLOOKUP(E201,'Base Datos'!$A$2:$M$150,6,FALSE))</f>
        <v>600</v>
      </c>
      <c r="Q201" s="23">
        <f>IF(E201="","",VLOOKUP(E201,'Base Datos'!$A$2:$M$150,7,FALSE))</f>
        <v>1</v>
      </c>
      <c r="R201" s="40">
        <f>IF(E201="","",VLOOKUP(E201,'Base Datos'!$A$2:$M$150,8,FALSE))</f>
        <v>120</v>
      </c>
      <c r="S201" s="40" t="str">
        <f>IF(E201="","",VLOOKUP(E201,'Base Datos'!$A$2:$M$150,9,FALSE))</f>
        <v>PP</v>
      </c>
      <c r="T201" s="33">
        <f>IF(E201="","",(H201*I201)-(J201+K201))</f>
        <v>485</v>
      </c>
      <c r="U201" s="33">
        <f>IF(E201="","",(I201*R201)/1000)</f>
        <v>0.12</v>
      </c>
      <c r="V201" s="123">
        <f>IF(G201="",0,(G201*H201)/3600)</f>
        <v>5.1902777777777782</v>
      </c>
      <c r="W201" s="45">
        <f>IFERROR(IF(E201="","",(H201/P201)),0)</f>
        <v>0.84166666666666667</v>
      </c>
      <c r="X201" s="94">
        <f>WEEKDAY(A201,1)</f>
        <v>6</v>
      </c>
      <c r="Y201" s="120">
        <f>MONTH(A201)</f>
        <v>7</v>
      </c>
      <c r="Z201" s="125">
        <f>WEEKNUM(A201)-WEEKNUM(DATE(YEAR(A201),MONTH(A201),1))+1</f>
        <v>3</v>
      </c>
      <c r="AA201" s="126">
        <f>IF(V201="",0,V201/8)</f>
        <v>0.64878472222222228</v>
      </c>
      <c r="AB201" s="125">
        <f>IF(E201="02PZ03405",0,1)</f>
        <v>1</v>
      </c>
    </row>
    <row r="202" spans="1:28" x14ac:dyDescent="0.2">
      <c r="A202" s="37">
        <v>44756</v>
      </c>
      <c r="B202" s="31" t="s">
        <v>34</v>
      </c>
      <c r="C202" s="31" t="s">
        <v>89</v>
      </c>
      <c r="D202" s="38">
        <v>2</v>
      </c>
      <c r="E202" s="39" t="s">
        <v>18</v>
      </c>
      <c r="F202" s="33" t="str">
        <f>IF(E202="","",VLOOKUP(E202,'Base Datos'!$A$2:$M$150,2,FALSE))</f>
        <v>Mate con Dije</v>
      </c>
      <c r="G202" s="32">
        <v>51.4</v>
      </c>
      <c r="H202" s="102">
        <v>569</v>
      </c>
      <c r="I202" s="32">
        <v>1</v>
      </c>
      <c r="J202" s="32"/>
      <c r="K202" s="31">
        <v>6</v>
      </c>
      <c r="L202" s="39">
        <v>184706</v>
      </c>
      <c r="M202" s="33">
        <f>IF(E202="","",VLOOKUP(E202,'Base Datos'!$A$2:$M$150,3,FALSE))</f>
        <v>51</v>
      </c>
      <c r="N202" s="23">
        <f>IF(E202="","",VLOOKUP(E202,'Base Datos'!$A$2:$M$150,4,FALSE))</f>
        <v>71</v>
      </c>
      <c r="O202" s="23">
        <f>IF(E202="","",VLOOKUP(E202,'Base Datos'!$A$2:$M$150,5,FALSE))</f>
        <v>51</v>
      </c>
      <c r="P202" s="23">
        <f>IF(E202="","",VLOOKUP(E202,'Base Datos'!$A$2:$M$150,6,FALSE))</f>
        <v>600</v>
      </c>
      <c r="Q202" s="23">
        <f>IF(E202="","",VLOOKUP(E202,'Base Datos'!$A$2:$M$150,7,FALSE))</f>
        <v>1</v>
      </c>
      <c r="R202" s="40">
        <f>IF(E202="","",VLOOKUP(E202,'Base Datos'!$A$2:$M$150,8,FALSE))</f>
        <v>120</v>
      </c>
      <c r="S202" s="40" t="str">
        <f>IF(E202="","",VLOOKUP(E202,'Base Datos'!$A$2:$M$150,9,FALSE))</f>
        <v>PP</v>
      </c>
      <c r="T202" s="33">
        <f>IF(E202="","",(H202*I202)-(J202+K202))</f>
        <v>563</v>
      </c>
      <c r="U202" s="33">
        <f>IF(E202="","",(I202*R202)/1000)</f>
        <v>0.12</v>
      </c>
      <c r="V202" s="123">
        <f>IF(G202="",0,(G202*H202)/3600)</f>
        <v>8.1240555555555556</v>
      </c>
      <c r="W202" s="45">
        <f>IFERROR(IF(E202="","",(H202/P202)),0)</f>
        <v>0.94833333333333336</v>
      </c>
      <c r="X202" s="94">
        <f>WEEKDAY(A202,1)</f>
        <v>5</v>
      </c>
      <c r="Y202" s="120">
        <f>MONTH(A202)</f>
        <v>7</v>
      </c>
      <c r="Z202" s="125">
        <f>WEEKNUM(A202)-WEEKNUM(DATE(YEAR(A202),MONTH(A202),1))+1</f>
        <v>3</v>
      </c>
      <c r="AA202" s="126">
        <f>IF(V202="",0,V202/8)</f>
        <v>1.0155069444444444</v>
      </c>
      <c r="AB202" s="125">
        <f>IF(E202="02PZ03405",0,1)</f>
        <v>1</v>
      </c>
    </row>
    <row r="203" spans="1:28" x14ac:dyDescent="0.2">
      <c r="A203" s="37">
        <v>44753</v>
      </c>
      <c r="B203" s="31" t="s">
        <v>34</v>
      </c>
      <c r="C203" s="31" t="s">
        <v>89</v>
      </c>
      <c r="D203" s="38">
        <v>2</v>
      </c>
      <c r="E203" s="39" t="s">
        <v>18</v>
      </c>
      <c r="F203" s="33" t="str">
        <f>IF(E203="","",VLOOKUP(E203,'Base Datos'!$A$2:$M$150,2,FALSE))</f>
        <v>Mate con Dije</v>
      </c>
      <c r="G203" s="32">
        <v>50.4</v>
      </c>
      <c r="H203" s="102">
        <v>456</v>
      </c>
      <c r="I203" s="32">
        <v>1</v>
      </c>
      <c r="J203" s="32">
        <v>5</v>
      </c>
      <c r="K203" s="31">
        <v>9</v>
      </c>
      <c r="L203" s="39">
        <v>184706</v>
      </c>
      <c r="M203" s="33">
        <f>IF(E203="","",VLOOKUP(E203,'Base Datos'!$A$2:$M$150,3,FALSE))</f>
        <v>51</v>
      </c>
      <c r="N203" s="23">
        <f>IF(E203="","",VLOOKUP(E203,'Base Datos'!$A$2:$M$150,4,FALSE))</f>
        <v>71</v>
      </c>
      <c r="O203" s="23">
        <f>IF(E203="","",VLOOKUP(E203,'Base Datos'!$A$2:$M$150,5,FALSE))</f>
        <v>51</v>
      </c>
      <c r="P203" s="23">
        <f>IF(E203="","",VLOOKUP(E203,'Base Datos'!$A$2:$M$150,6,FALSE))</f>
        <v>600</v>
      </c>
      <c r="Q203" s="23">
        <f>IF(E203="","",VLOOKUP(E203,'Base Datos'!$A$2:$M$150,7,FALSE))</f>
        <v>1</v>
      </c>
      <c r="R203" s="40">
        <f>IF(E203="","",VLOOKUP(E203,'Base Datos'!$A$2:$M$150,8,FALSE))</f>
        <v>120</v>
      </c>
      <c r="S203" s="40" t="str">
        <f>IF(E203="","",VLOOKUP(E203,'Base Datos'!$A$2:$M$150,9,FALSE))</f>
        <v>PP</v>
      </c>
      <c r="T203" s="33">
        <f>IF(E203="","",(H203*I203)-(J203+K203))</f>
        <v>442</v>
      </c>
      <c r="U203" s="33">
        <f>IF(E203="","",(I203*R203)/1000)</f>
        <v>0.12</v>
      </c>
      <c r="V203" s="123">
        <f>IF(G203="",0,(G203*H203)/3600)</f>
        <v>6.3839999999999995</v>
      </c>
      <c r="W203" s="45">
        <f>IFERROR(IF(E203="","",(H203/P203)),0)</f>
        <v>0.76</v>
      </c>
      <c r="X203" s="94">
        <f>WEEKDAY(A203,1)</f>
        <v>2</v>
      </c>
      <c r="Y203" s="120">
        <f>MONTH(A203)</f>
        <v>7</v>
      </c>
      <c r="Z203" s="125">
        <f>WEEKNUM(A203)-WEEKNUM(DATE(YEAR(A203),MONTH(A203),1))+1</f>
        <v>3</v>
      </c>
      <c r="AA203" s="126">
        <f>IF(V203="",0,V203/8)</f>
        <v>0.79799999999999993</v>
      </c>
      <c r="AB203" s="125">
        <f>IF(E203="02PZ03405",0,1)</f>
        <v>1</v>
      </c>
    </row>
    <row r="204" spans="1:28" x14ac:dyDescent="0.2">
      <c r="A204" s="37">
        <v>44750</v>
      </c>
      <c r="B204" s="31" t="s">
        <v>34</v>
      </c>
      <c r="C204" s="31" t="s">
        <v>89</v>
      </c>
      <c r="D204" s="38">
        <v>2</v>
      </c>
      <c r="E204" s="39" t="s">
        <v>18</v>
      </c>
      <c r="F204" s="33" t="str">
        <f>IF(E204="","",VLOOKUP(E204,'Base Datos'!$A$2:$M$150,2,FALSE))</f>
        <v>Mate con Dije</v>
      </c>
      <c r="G204" s="32">
        <v>51</v>
      </c>
      <c r="H204" s="32">
        <v>535</v>
      </c>
      <c r="I204" s="32">
        <v>1</v>
      </c>
      <c r="J204" s="32">
        <v>3</v>
      </c>
      <c r="K204" s="31">
        <v>8</v>
      </c>
      <c r="L204" s="39">
        <v>184706</v>
      </c>
      <c r="M204" s="33">
        <f>IF(E204="","",VLOOKUP(E204,'Base Datos'!$A$2:$M$150,3,FALSE))</f>
        <v>51</v>
      </c>
      <c r="N204" s="23">
        <f>IF(E204="","",VLOOKUP(E204,'Base Datos'!$A$2:$M$150,4,FALSE))</f>
        <v>71</v>
      </c>
      <c r="O204" s="23">
        <f>IF(E204="","",VLOOKUP(E204,'Base Datos'!$A$2:$M$150,5,FALSE))</f>
        <v>51</v>
      </c>
      <c r="P204" s="23">
        <f>IF(E204="","",VLOOKUP(E204,'Base Datos'!$A$2:$M$150,6,FALSE))</f>
        <v>600</v>
      </c>
      <c r="Q204" s="23">
        <f>IF(E204="","",VLOOKUP(E204,'Base Datos'!$A$2:$M$150,7,FALSE))</f>
        <v>1</v>
      </c>
      <c r="R204" s="40">
        <f>IF(E204="","",VLOOKUP(E204,'Base Datos'!$A$2:$M$150,8,FALSE))</f>
        <v>120</v>
      </c>
      <c r="S204" s="40" t="str">
        <f>IF(E204="","",VLOOKUP(E204,'Base Datos'!$A$2:$M$150,9,FALSE))</f>
        <v>PP</v>
      </c>
      <c r="T204" s="33">
        <f>IF(E204="","",(H204*I204)-(J204+K204))</f>
        <v>524</v>
      </c>
      <c r="U204" s="33">
        <f>IF(E204="","",(H204*R204)/1000)</f>
        <v>64.2</v>
      </c>
      <c r="V204" s="123">
        <f>IF(G204="",0,(G204*H204)/3600)</f>
        <v>7.5791666666666666</v>
      </c>
      <c r="W204" s="45">
        <f>IFERROR(IF(E204="","",(H204/P204)),0)</f>
        <v>0.89166666666666672</v>
      </c>
      <c r="X204" s="94">
        <f>WEEKDAY(A204,1)</f>
        <v>6</v>
      </c>
      <c r="Y204" s="120">
        <f>MONTH(A204)</f>
        <v>7</v>
      </c>
      <c r="Z204" s="125">
        <f>WEEKNUM(A204)-WEEKNUM(DATE(YEAR(A204),MONTH(A204),1))+1</f>
        <v>2</v>
      </c>
      <c r="AA204" s="126">
        <f>IF(V204="",0,V204/8)</f>
        <v>0.94739583333333333</v>
      </c>
      <c r="AB204" s="125">
        <f>IF(E204="02PZ03405",0,1)</f>
        <v>1</v>
      </c>
    </row>
    <row r="205" spans="1:28" x14ac:dyDescent="0.2">
      <c r="A205" s="37">
        <v>44753</v>
      </c>
      <c r="B205" s="31" t="s">
        <v>86</v>
      </c>
      <c r="C205" s="31" t="s">
        <v>35</v>
      </c>
      <c r="D205" s="38">
        <v>2</v>
      </c>
      <c r="E205" s="39" t="s">
        <v>18</v>
      </c>
      <c r="F205" s="33" t="str">
        <f>IF(E205="","",VLOOKUP(E205,'Base Datos'!$A$2:$M$150,2,FALSE))</f>
        <v>Mate con Dije</v>
      </c>
      <c r="G205" s="32">
        <v>50</v>
      </c>
      <c r="H205" s="102">
        <v>463</v>
      </c>
      <c r="I205" s="32">
        <v>1</v>
      </c>
      <c r="J205" s="32"/>
      <c r="K205" s="31">
        <v>162</v>
      </c>
      <c r="L205" s="39">
        <v>184706</v>
      </c>
      <c r="M205" s="33">
        <f>IF(E205="","",VLOOKUP(E205,'Base Datos'!$A$2:$M$150,3,FALSE))</f>
        <v>51</v>
      </c>
      <c r="N205" s="23">
        <f>IF(E205="","",VLOOKUP(E205,'Base Datos'!$A$2:$M$150,4,FALSE))</f>
        <v>71</v>
      </c>
      <c r="O205" s="23">
        <f>IF(E205="","",VLOOKUP(E205,'Base Datos'!$A$2:$M$150,5,FALSE))</f>
        <v>51</v>
      </c>
      <c r="P205" s="23">
        <f>IF(E205="","",VLOOKUP(E205,'Base Datos'!$A$2:$M$150,6,FALSE))</f>
        <v>600</v>
      </c>
      <c r="Q205" s="23">
        <f>IF(E205="","",VLOOKUP(E205,'Base Datos'!$A$2:$M$150,7,FALSE))</f>
        <v>1</v>
      </c>
      <c r="R205" s="40">
        <f>IF(E205="","",VLOOKUP(E205,'Base Datos'!$A$2:$M$150,8,FALSE))</f>
        <v>120</v>
      </c>
      <c r="S205" s="40" t="str">
        <f>IF(E205="","",VLOOKUP(E205,'Base Datos'!$A$2:$M$150,9,FALSE))</f>
        <v>PP</v>
      </c>
      <c r="T205" s="33">
        <f>IF(E205="","",(H205*I205)-(J205+K205))</f>
        <v>301</v>
      </c>
      <c r="U205" s="33">
        <f>IF(E205="","",(I205*R205)/1000)</f>
        <v>0.12</v>
      </c>
      <c r="V205" s="123">
        <f>IF(G205="",0,(G205*H205)/3600)</f>
        <v>6.4305555555555554</v>
      </c>
      <c r="W205" s="45">
        <f>IFERROR(IF(E205="","",(H205/P205)),0)</f>
        <v>0.77166666666666661</v>
      </c>
      <c r="X205" s="94">
        <f>WEEKDAY(A205,1)</f>
        <v>2</v>
      </c>
      <c r="Y205" s="120">
        <f>MONTH(A205)</f>
        <v>7</v>
      </c>
      <c r="Z205" s="125">
        <f>WEEKNUM(A205)-WEEKNUM(DATE(YEAR(A205),MONTH(A205),1))+1</f>
        <v>3</v>
      </c>
      <c r="AA205" s="126">
        <f>IF(V205="",0,V205/8)</f>
        <v>0.80381944444444442</v>
      </c>
      <c r="AB205" s="125">
        <f>IF(E205="02PZ03405",0,1)</f>
        <v>1</v>
      </c>
    </row>
    <row r="206" spans="1:28" x14ac:dyDescent="0.2">
      <c r="A206" s="37">
        <v>44757</v>
      </c>
      <c r="B206" s="31" t="s">
        <v>86</v>
      </c>
      <c r="C206" s="31" t="s">
        <v>91</v>
      </c>
      <c r="D206" s="38">
        <v>2</v>
      </c>
      <c r="E206" s="39" t="s">
        <v>18</v>
      </c>
      <c r="F206" s="33" t="str">
        <f>IF(E206="","",VLOOKUP(E206,'Base Datos'!$A$2:$M$150,2,FALSE))</f>
        <v>Mate con Dije</v>
      </c>
      <c r="G206" s="99">
        <v>49</v>
      </c>
      <c r="H206" s="102">
        <v>683</v>
      </c>
      <c r="I206" s="32">
        <v>1</v>
      </c>
      <c r="J206" s="32">
        <v>0</v>
      </c>
      <c r="K206" s="31">
        <v>0</v>
      </c>
      <c r="L206" s="39">
        <v>184706</v>
      </c>
      <c r="M206" s="33">
        <f>IF(E206="","",VLOOKUP(E206,'Base Datos'!$A$2:$M$150,3,FALSE))</f>
        <v>51</v>
      </c>
      <c r="N206" s="23">
        <f>IF(E206="","",VLOOKUP(E206,'Base Datos'!$A$2:$M$150,4,FALSE))</f>
        <v>71</v>
      </c>
      <c r="O206" s="23">
        <f>IF(E206="","",VLOOKUP(E206,'Base Datos'!$A$2:$M$150,5,FALSE))</f>
        <v>51</v>
      </c>
      <c r="P206" s="23">
        <f>IF(E206="","",VLOOKUP(E206,'Base Datos'!$A$2:$M$150,6,FALSE))</f>
        <v>600</v>
      </c>
      <c r="Q206" s="23">
        <f>IF(E206="","",VLOOKUP(E206,'Base Datos'!$A$2:$M$150,7,FALSE))</f>
        <v>1</v>
      </c>
      <c r="R206" s="40">
        <f>IF(E206="","",VLOOKUP(E206,'Base Datos'!$A$2:$M$150,8,FALSE))</f>
        <v>120</v>
      </c>
      <c r="S206" s="40" t="str">
        <f>IF(E206="","",VLOOKUP(E206,'Base Datos'!$A$2:$M$150,9,FALSE))</f>
        <v>PP</v>
      </c>
      <c r="T206" s="33">
        <f>IF(E206="","",(H206*I206)-(J206+K206))</f>
        <v>683</v>
      </c>
      <c r="U206" s="33">
        <f>IF(E206="","",(I206*R206)/1000)</f>
        <v>0.12</v>
      </c>
      <c r="V206" s="123">
        <f>IF(G206="",0,(G206*H206)/3600)</f>
        <v>9.2963888888888881</v>
      </c>
      <c r="W206" s="45">
        <f>IFERROR(IF(E206="","",(H206/P206)),0)</f>
        <v>1.1383333333333334</v>
      </c>
      <c r="X206" s="94">
        <f>WEEKDAY(A206,1)</f>
        <v>6</v>
      </c>
      <c r="Y206" s="120">
        <f>MONTH(A206)</f>
        <v>7</v>
      </c>
      <c r="Z206" s="125">
        <f>WEEKNUM(A206)-WEEKNUM(DATE(YEAR(A206),MONTH(A206),1))+1</f>
        <v>3</v>
      </c>
      <c r="AA206" s="126">
        <f>IF(V206="",0,V206/8)</f>
        <v>1.162048611111111</v>
      </c>
      <c r="AB206" s="125">
        <f>IF(E206="02PZ03405",0,1)</f>
        <v>1</v>
      </c>
    </row>
    <row r="207" spans="1:28" x14ac:dyDescent="0.2">
      <c r="A207" s="37">
        <v>44756</v>
      </c>
      <c r="B207" s="31" t="s">
        <v>86</v>
      </c>
      <c r="C207" s="31" t="s">
        <v>91</v>
      </c>
      <c r="D207" s="38">
        <v>2</v>
      </c>
      <c r="E207" s="39" t="s">
        <v>18</v>
      </c>
      <c r="F207" s="33" t="str">
        <f>IF(E207="","",VLOOKUP(E207,'Base Datos'!$A$2:$M$150,2,FALSE))</f>
        <v>Mate con Dije</v>
      </c>
      <c r="G207" s="99">
        <v>46.5</v>
      </c>
      <c r="H207" s="102">
        <v>431</v>
      </c>
      <c r="I207" s="32">
        <v>1</v>
      </c>
      <c r="J207" s="32">
        <v>2</v>
      </c>
      <c r="K207" s="31">
        <v>3</v>
      </c>
      <c r="L207" s="39">
        <v>184706</v>
      </c>
      <c r="M207" s="33">
        <f>IF(E207="","",VLOOKUP(E207,'Base Datos'!$A$2:$M$150,3,FALSE))</f>
        <v>51</v>
      </c>
      <c r="N207" s="23">
        <f>IF(E207="","",VLOOKUP(E207,'Base Datos'!$A$2:$M$150,4,FALSE))</f>
        <v>71</v>
      </c>
      <c r="O207" s="23">
        <f>IF(E207="","",VLOOKUP(E207,'Base Datos'!$A$2:$M$150,5,FALSE))</f>
        <v>51</v>
      </c>
      <c r="P207" s="23">
        <f>IF(E207="","",VLOOKUP(E207,'Base Datos'!$A$2:$M$150,6,FALSE))</f>
        <v>600</v>
      </c>
      <c r="Q207" s="23">
        <f>IF(E207="","",VLOOKUP(E207,'Base Datos'!$A$2:$M$150,7,FALSE))</f>
        <v>1</v>
      </c>
      <c r="R207" s="40">
        <f>IF(E207="","",VLOOKUP(E207,'Base Datos'!$A$2:$M$150,8,FALSE))</f>
        <v>120</v>
      </c>
      <c r="S207" s="40" t="str">
        <f>IF(E207="","",VLOOKUP(E207,'Base Datos'!$A$2:$M$150,9,FALSE))</f>
        <v>PP</v>
      </c>
      <c r="T207" s="33">
        <f>IF(E207="","",(H207*I207)-(J207+K207))</f>
        <v>426</v>
      </c>
      <c r="U207" s="33">
        <f>IF(E207="","",(I207*R207)/1000)</f>
        <v>0.12</v>
      </c>
      <c r="V207" s="123">
        <f>IF(G207="",0,(G207*H207)/3600)</f>
        <v>5.5670833333333336</v>
      </c>
      <c r="W207" s="45">
        <f>IFERROR(IF(E207="","",(H207/P207)),0)</f>
        <v>0.71833333333333338</v>
      </c>
      <c r="X207" s="94">
        <f>WEEKDAY(A207,1)</f>
        <v>5</v>
      </c>
      <c r="Y207" s="120">
        <f>MONTH(A207)</f>
        <v>7</v>
      </c>
      <c r="Z207" s="125">
        <f>WEEKNUM(A207)-WEEKNUM(DATE(YEAR(A207),MONTH(A207),1))+1</f>
        <v>3</v>
      </c>
      <c r="AA207" s="126">
        <f>IF(V207="",0,V207/8)</f>
        <v>0.6958854166666667</v>
      </c>
      <c r="AB207" s="125">
        <f>IF(E207="02PZ03405",0,1)</f>
        <v>1</v>
      </c>
    </row>
    <row r="208" spans="1:28" x14ac:dyDescent="0.2">
      <c r="A208" s="37">
        <v>44754</v>
      </c>
      <c r="B208" s="31" t="s">
        <v>86</v>
      </c>
      <c r="C208" s="31" t="s">
        <v>91</v>
      </c>
      <c r="D208" s="38">
        <v>2</v>
      </c>
      <c r="E208" s="39" t="s">
        <v>18</v>
      </c>
      <c r="F208" s="33" t="str">
        <f>IF(E208="","",VLOOKUP(E208,'Base Datos'!$A$2:$M$150,2,FALSE))</f>
        <v>Mate con Dije</v>
      </c>
      <c r="G208" s="32">
        <v>48.4</v>
      </c>
      <c r="H208" s="102">
        <v>582</v>
      </c>
      <c r="I208" s="32">
        <v>1</v>
      </c>
      <c r="J208" s="32">
        <v>65</v>
      </c>
      <c r="K208" s="31">
        <v>1</v>
      </c>
      <c r="L208" s="39">
        <v>184706</v>
      </c>
      <c r="M208" s="33">
        <f>IF(E208="","",VLOOKUP(E208,'Base Datos'!$A$2:$M$150,3,FALSE))</f>
        <v>51</v>
      </c>
      <c r="N208" s="23">
        <f>IF(E208="","",VLOOKUP(E208,'Base Datos'!$A$2:$M$150,4,FALSE))</f>
        <v>71</v>
      </c>
      <c r="O208" s="23">
        <f>IF(E208="","",VLOOKUP(E208,'Base Datos'!$A$2:$M$150,5,FALSE))</f>
        <v>51</v>
      </c>
      <c r="P208" s="23">
        <f>IF(E208="","",VLOOKUP(E208,'Base Datos'!$A$2:$M$150,6,FALSE))</f>
        <v>600</v>
      </c>
      <c r="Q208" s="23">
        <f>IF(E208="","",VLOOKUP(E208,'Base Datos'!$A$2:$M$150,7,FALSE))</f>
        <v>1</v>
      </c>
      <c r="R208" s="40">
        <f>IF(E208="","",VLOOKUP(E208,'Base Datos'!$A$2:$M$150,8,FALSE))</f>
        <v>120</v>
      </c>
      <c r="S208" s="40" t="str">
        <f>IF(E208="","",VLOOKUP(E208,'Base Datos'!$A$2:$M$150,9,FALSE))</f>
        <v>PP</v>
      </c>
      <c r="T208" s="33">
        <f>IF(E208="","",(H208*I208)-(J208+K208))</f>
        <v>516</v>
      </c>
      <c r="U208" s="33">
        <f>IF(E208="","",(I208*R208)/1000)</f>
        <v>0.12</v>
      </c>
      <c r="V208" s="123">
        <f>IF(G208="",0,(G208*H208)/3600)</f>
        <v>7.8246666666666664</v>
      </c>
      <c r="W208" s="45">
        <f>IFERROR(IF(E208="","",(H208/P208)),0)</f>
        <v>0.97</v>
      </c>
      <c r="X208" s="94">
        <f>WEEKDAY(A208,1)</f>
        <v>3</v>
      </c>
      <c r="Y208" s="120">
        <f>MONTH(A208)</f>
        <v>7</v>
      </c>
      <c r="Z208" s="125">
        <f>WEEKNUM(A208)-WEEKNUM(DATE(YEAR(A208),MONTH(A208),1))+1</f>
        <v>3</v>
      </c>
      <c r="AA208" s="126">
        <f>IF(V208="",0,V208/8)</f>
        <v>0.9780833333333333</v>
      </c>
      <c r="AB208" s="125">
        <f>IF(E208="02PZ03405",0,1)</f>
        <v>1</v>
      </c>
    </row>
    <row r="209" spans="1:28" x14ac:dyDescent="0.2">
      <c r="A209" s="37">
        <v>44764</v>
      </c>
      <c r="B209" s="31" t="s">
        <v>86</v>
      </c>
      <c r="C209" s="31" t="s">
        <v>90</v>
      </c>
      <c r="D209" s="38">
        <v>5</v>
      </c>
      <c r="E209" s="39" t="s">
        <v>18</v>
      </c>
      <c r="F209" s="33" t="str">
        <f>IF(E209="","",VLOOKUP(E209,'Base Datos'!$A$2:$M$150,2,FALSE))</f>
        <v>Mate con Dije</v>
      </c>
      <c r="G209" s="99">
        <v>40.299999999999997</v>
      </c>
      <c r="H209" s="102">
        <v>350</v>
      </c>
      <c r="I209" s="32">
        <v>1</v>
      </c>
      <c r="J209" s="32">
        <v>3</v>
      </c>
      <c r="K209" s="31">
        <v>0</v>
      </c>
      <c r="L209" s="39">
        <v>184975</v>
      </c>
      <c r="M209" s="33">
        <f>IF(E209="","",VLOOKUP(E209,'Base Datos'!$A$2:$M$150,3,FALSE))</f>
        <v>51</v>
      </c>
      <c r="N209" s="23">
        <f>IF(E209="","",VLOOKUP(E209,'Base Datos'!$A$2:$M$150,4,FALSE))</f>
        <v>71</v>
      </c>
      <c r="O209" s="23">
        <f>IF(E209="","",VLOOKUP(E209,'Base Datos'!$A$2:$M$150,5,FALSE))</f>
        <v>51</v>
      </c>
      <c r="P209" s="23">
        <f>IF(E209="","",VLOOKUP(E209,'Base Datos'!$A$2:$M$150,6,FALSE))</f>
        <v>600</v>
      </c>
      <c r="Q209" s="23">
        <f>IF(E209="","",VLOOKUP(E209,'Base Datos'!$A$2:$M$150,7,FALSE))</f>
        <v>1</v>
      </c>
      <c r="R209" s="40">
        <f>IF(E209="","",VLOOKUP(E209,'Base Datos'!$A$2:$M$150,8,FALSE))</f>
        <v>120</v>
      </c>
      <c r="S209" s="40" t="str">
        <f>IF(E209="","",VLOOKUP(E209,'Base Datos'!$A$2:$M$150,9,FALSE))</f>
        <v>PP</v>
      </c>
      <c r="T209" s="33">
        <f>IF(E209="","",(H209*I209)-(J209+K209))</f>
        <v>347</v>
      </c>
      <c r="U209" s="33">
        <f>IF(E209="","",(I209*R209)/1000)</f>
        <v>0.12</v>
      </c>
      <c r="V209" s="123">
        <f>IF(G209="",0,(G209*H209)/3600)</f>
        <v>3.9180555555555552</v>
      </c>
      <c r="W209" s="45">
        <f>IFERROR(IF(E209="","",(H209/P209)),0)</f>
        <v>0.58333333333333337</v>
      </c>
      <c r="X209" s="94">
        <f>WEEKDAY(A209,1)</f>
        <v>6</v>
      </c>
      <c r="Y209" s="120">
        <f>MONTH(A209)</f>
        <v>7</v>
      </c>
      <c r="Z209" s="125">
        <f>WEEKNUM(A209)-WEEKNUM(DATE(YEAR(A209),MONTH(A209),1))+1</f>
        <v>4</v>
      </c>
      <c r="AA209" s="126">
        <f>IF(V209="",0,V209/8)</f>
        <v>0.4897569444444444</v>
      </c>
      <c r="AB209" s="125">
        <f>IF(E209="02PZ03405",0,1)</f>
        <v>1</v>
      </c>
    </row>
    <row r="210" spans="1:28" x14ac:dyDescent="0.2">
      <c r="A210" s="37">
        <v>44755</v>
      </c>
      <c r="B210" s="31" t="s">
        <v>86</v>
      </c>
      <c r="C210" s="31" t="s">
        <v>88</v>
      </c>
      <c r="D210" s="38">
        <v>2</v>
      </c>
      <c r="E210" s="39" t="s">
        <v>18</v>
      </c>
      <c r="F210" s="33" t="str">
        <f>IF(E210="","",VLOOKUP(E210,'Base Datos'!$A$2:$M$150,2,FALSE))</f>
        <v>Mate con Dije</v>
      </c>
      <c r="G210" s="32">
        <v>50</v>
      </c>
      <c r="H210" s="102">
        <v>410</v>
      </c>
      <c r="I210" s="32">
        <v>1</v>
      </c>
      <c r="J210" s="32"/>
      <c r="K210" s="31">
        <v>12</v>
      </c>
      <c r="L210" s="39">
        <v>184706</v>
      </c>
      <c r="M210" s="33">
        <f>IF(E210="","",VLOOKUP(E210,'Base Datos'!$A$2:$M$150,3,FALSE))</f>
        <v>51</v>
      </c>
      <c r="N210" s="23">
        <f>IF(E210="","",VLOOKUP(E210,'Base Datos'!$A$2:$M$150,4,FALSE))</f>
        <v>71</v>
      </c>
      <c r="O210" s="23">
        <f>IF(E210="","",VLOOKUP(E210,'Base Datos'!$A$2:$M$150,5,FALSE))</f>
        <v>51</v>
      </c>
      <c r="P210" s="23">
        <f>IF(E210="","",VLOOKUP(E210,'Base Datos'!$A$2:$M$150,6,FALSE))</f>
        <v>600</v>
      </c>
      <c r="Q210" s="23">
        <f>IF(E210="","",VLOOKUP(E210,'Base Datos'!$A$2:$M$150,7,FALSE))</f>
        <v>1</v>
      </c>
      <c r="R210" s="40">
        <f>IF(E210="","",VLOOKUP(E210,'Base Datos'!$A$2:$M$150,8,FALSE))</f>
        <v>120</v>
      </c>
      <c r="S210" s="40" t="str">
        <f>IF(E210="","",VLOOKUP(E210,'Base Datos'!$A$2:$M$150,9,FALSE))</f>
        <v>PP</v>
      </c>
      <c r="T210" s="33">
        <f>IF(E210="","",(H210*I210)-(J210+K210))</f>
        <v>398</v>
      </c>
      <c r="U210" s="33">
        <f>IF(E210="","",(I210*R210)/1000)</f>
        <v>0.12</v>
      </c>
      <c r="V210" s="123">
        <f>IF(G210="",0,(G210*H210)/3600)</f>
        <v>5.6944444444444446</v>
      </c>
      <c r="W210" s="45">
        <f>IFERROR(IF(E210="","",(H210/P210)),0)</f>
        <v>0.68333333333333335</v>
      </c>
      <c r="X210" s="94">
        <f>WEEKDAY(A210,1)</f>
        <v>4</v>
      </c>
      <c r="Y210" s="120">
        <f>MONTH(A210)</f>
        <v>7</v>
      </c>
      <c r="Z210" s="125">
        <f>WEEKNUM(A210)-WEEKNUM(DATE(YEAR(A210),MONTH(A210),1))+1</f>
        <v>3</v>
      </c>
      <c r="AA210" s="126">
        <f>IF(V210="",0,V210/8)</f>
        <v>0.71180555555555558</v>
      </c>
      <c r="AB210" s="125">
        <f>IF(E210="02PZ03405",0,1)</f>
        <v>1</v>
      </c>
    </row>
    <row r="211" spans="1:28" x14ac:dyDescent="0.2">
      <c r="A211" s="37">
        <v>44761</v>
      </c>
      <c r="B211" s="31" t="s">
        <v>87</v>
      </c>
      <c r="C211" s="31" t="s">
        <v>93</v>
      </c>
      <c r="D211" s="38">
        <v>2</v>
      </c>
      <c r="E211" s="39" t="s">
        <v>18</v>
      </c>
      <c r="F211" s="33" t="str">
        <f>IF(E211="","",VLOOKUP(E211,'Base Datos'!$A$2:$M$150,2,FALSE))</f>
        <v>Mate con Dije</v>
      </c>
      <c r="G211" s="99">
        <v>36</v>
      </c>
      <c r="H211" s="102">
        <v>91</v>
      </c>
      <c r="I211" s="32">
        <v>1</v>
      </c>
      <c r="J211" s="32">
        <v>3</v>
      </c>
      <c r="K211" s="31"/>
      <c r="L211" s="39">
        <v>184706</v>
      </c>
      <c r="M211" s="33">
        <f>IF(E211="","",VLOOKUP(E211,'Base Datos'!$A$2:$M$150,3,FALSE))</f>
        <v>51</v>
      </c>
      <c r="N211" s="23">
        <f>IF(E211="","",VLOOKUP(E211,'Base Datos'!$A$2:$M$150,4,FALSE))</f>
        <v>71</v>
      </c>
      <c r="O211" s="23">
        <f>IF(E211="","",VLOOKUP(E211,'Base Datos'!$A$2:$M$150,5,FALSE))</f>
        <v>51</v>
      </c>
      <c r="P211" s="23">
        <f>IF(E211="","",VLOOKUP(E211,'Base Datos'!$A$2:$M$150,6,FALSE))</f>
        <v>600</v>
      </c>
      <c r="Q211" s="23">
        <f>IF(E211="","",VLOOKUP(E211,'Base Datos'!$A$2:$M$150,7,FALSE))</f>
        <v>1</v>
      </c>
      <c r="R211" s="40">
        <f>IF(E211="","",VLOOKUP(E211,'Base Datos'!$A$2:$M$150,8,FALSE))</f>
        <v>120</v>
      </c>
      <c r="S211" s="40" t="str">
        <f>IF(E211="","",VLOOKUP(E211,'Base Datos'!$A$2:$M$150,9,FALSE))</f>
        <v>PP</v>
      </c>
      <c r="T211" s="33">
        <f>IF(E211="","",(H211*I211)-(J211+K211))</f>
        <v>88</v>
      </c>
      <c r="U211" s="33">
        <f>IF(E211="","",(I211*R211)/1000)</f>
        <v>0.12</v>
      </c>
      <c r="V211" s="123">
        <f>IF(G211="",0,(G211*H211)/3600)</f>
        <v>0.91</v>
      </c>
      <c r="W211" s="45">
        <f>IFERROR(IF(E211="","",(H211/P211)),0)</f>
        <v>0.15166666666666667</v>
      </c>
      <c r="X211" s="94">
        <f>WEEKDAY(A211,1)</f>
        <v>3</v>
      </c>
      <c r="Y211" s="120">
        <f>MONTH(A211)</f>
        <v>7</v>
      </c>
      <c r="Z211" s="125">
        <f>WEEKNUM(A211)-WEEKNUM(DATE(YEAR(A211),MONTH(A211),1))+1</f>
        <v>4</v>
      </c>
      <c r="AA211" s="126">
        <f>IF(V211="",0,V211/8)</f>
        <v>0.11375</v>
      </c>
      <c r="AB211" s="125">
        <f>IF(E211="02PZ03405",0,1)</f>
        <v>1</v>
      </c>
    </row>
    <row r="212" spans="1:28" x14ac:dyDescent="0.2">
      <c r="A212" s="37">
        <v>44757</v>
      </c>
      <c r="B212" s="119" t="s">
        <v>87</v>
      </c>
      <c r="C212" s="31" t="s">
        <v>93</v>
      </c>
      <c r="D212" s="118">
        <v>2</v>
      </c>
      <c r="E212" s="39" t="s">
        <v>18</v>
      </c>
      <c r="F212" s="33" t="str">
        <f>IF(E212="","",VLOOKUP(E212,'Base Datos'!$A$2:$M$150,2,FALSE))</f>
        <v>Mate con Dije</v>
      </c>
      <c r="G212" s="99">
        <v>38</v>
      </c>
      <c r="H212" s="102">
        <v>512</v>
      </c>
      <c r="I212" s="32">
        <v>1</v>
      </c>
      <c r="J212" s="32">
        <v>4</v>
      </c>
      <c r="K212" s="31">
        <v>3</v>
      </c>
      <c r="L212" s="39">
        <v>184706</v>
      </c>
      <c r="M212" s="33">
        <f>IF(E212="","",VLOOKUP(E212,'Base Datos'!$A$2:$M$150,3,FALSE))</f>
        <v>51</v>
      </c>
      <c r="N212" s="23">
        <f>IF(E212="","",VLOOKUP(E212,'Base Datos'!$A$2:$M$150,4,FALSE))</f>
        <v>71</v>
      </c>
      <c r="O212" s="23">
        <f>IF(E212="","",VLOOKUP(E212,'Base Datos'!$A$2:$M$150,5,FALSE))</f>
        <v>51</v>
      </c>
      <c r="P212" s="23">
        <f>IF(E212="","",VLOOKUP(E212,'Base Datos'!$A$2:$M$150,6,FALSE))</f>
        <v>600</v>
      </c>
      <c r="Q212" s="23">
        <f>IF(E212="","",VLOOKUP(E212,'Base Datos'!$A$2:$M$150,7,FALSE))</f>
        <v>1</v>
      </c>
      <c r="R212" s="40">
        <f>IF(E212="","",VLOOKUP(E212,'Base Datos'!$A$2:$M$150,8,FALSE))</f>
        <v>120</v>
      </c>
      <c r="S212" s="40" t="str">
        <f>IF(E212="","",VLOOKUP(E212,'Base Datos'!$A$2:$M$150,9,FALSE))</f>
        <v>PP</v>
      </c>
      <c r="T212" s="33">
        <f>IF(E212="","",(H212*I212)-(J212+K212))</f>
        <v>505</v>
      </c>
      <c r="U212" s="33">
        <f>IF(E212="","",(I212*R212)/1000)</f>
        <v>0.12</v>
      </c>
      <c r="V212" s="123">
        <f>IF(G212="",0,(G212*H212)/3600)</f>
        <v>5.4044444444444446</v>
      </c>
      <c r="W212" s="45">
        <f>IFERROR(IF(E212="","",(H212/P212)),0)</f>
        <v>0.85333333333333339</v>
      </c>
      <c r="X212" s="94">
        <f>WEEKDAY(A212,1)</f>
        <v>6</v>
      </c>
      <c r="Y212" s="120">
        <f>MONTH(A212)</f>
        <v>7</v>
      </c>
      <c r="Z212" s="125">
        <f>WEEKNUM(A212)-WEEKNUM(DATE(YEAR(A212),MONTH(A212),1))+1</f>
        <v>3</v>
      </c>
      <c r="AA212" s="126">
        <f>IF(V212="",0,V212/8)</f>
        <v>0.67555555555555558</v>
      </c>
      <c r="AB212" s="125">
        <f>IF(E212="02PZ03405",0,1)</f>
        <v>1</v>
      </c>
    </row>
    <row r="213" spans="1:28" x14ac:dyDescent="0.2">
      <c r="A213" s="37">
        <v>44756</v>
      </c>
      <c r="B213" s="31" t="s">
        <v>87</v>
      </c>
      <c r="C213" s="31" t="s">
        <v>93</v>
      </c>
      <c r="D213" s="38">
        <v>2</v>
      </c>
      <c r="E213" s="39" t="s">
        <v>18</v>
      </c>
      <c r="F213" s="33" t="str">
        <f>IF(E213="","",VLOOKUP(E213,'Base Datos'!$A$2:$M$150,2,FALSE))</f>
        <v>Mate con Dije</v>
      </c>
      <c r="G213" s="99">
        <v>39.6</v>
      </c>
      <c r="H213" s="102">
        <v>650</v>
      </c>
      <c r="I213" s="32">
        <v>1</v>
      </c>
      <c r="J213" s="32">
        <v>0</v>
      </c>
      <c r="K213" s="31">
        <v>20</v>
      </c>
      <c r="L213" s="39">
        <v>184706</v>
      </c>
      <c r="M213" s="33">
        <f>IF(E213="","",VLOOKUP(E213,'Base Datos'!$A$2:$M$150,3,FALSE))</f>
        <v>51</v>
      </c>
      <c r="N213" s="23">
        <f>IF(E213="","",VLOOKUP(E213,'Base Datos'!$A$2:$M$150,4,FALSE))</f>
        <v>71</v>
      </c>
      <c r="O213" s="23">
        <f>IF(E213="","",VLOOKUP(E213,'Base Datos'!$A$2:$M$150,5,FALSE))</f>
        <v>51</v>
      </c>
      <c r="P213" s="23">
        <f>IF(E213="","",VLOOKUP(E213,'Base Datos'!$A$2:$M$150,6,FALSE))</f>
        <v>600</v>
      </c>
      <c r="Q213" s="23">
        <f>IF(E213="","",VLOOKUP(E213,'Base Datos'!$A$2:$M$150,7,FALSE))</f>
        <v>1</v>
      </c>
      <c r="R213" s="40">
        <f>IF(E213="","",VLOOKUP(E213,'Base Datos'!$A$2:$M$150,8,FALSE))</f>
        <v>120</v>
      </c>
      <c r="S213" s="40" t="str">
        <f>IF(E213="","",VLOOKUP(E213,'Base Datos'!$A$2:$M$150,9,FALSE))</f>
        <v>PP</v>
      </c>
      <c r="T213" s="33">
        <f>IF(E213="","",(H213*I213)-(J213+K213))</f>
        <v>630</v>
      </c>
      <c r="U213" s="33">
        <f>IF(E213="","",(I213*R213)/1000)</f>
        <v>0.12</v>
      </c>
      <c r="V213" s="123">
        <f>IF(G213="",0,(G213*H213)/3600)</f>
        <v>7.15</v>
      </c>
      <c r="W213" s="45">
        <f>IFERROR(IF(E213="","",(H213/P213)),0)</f>
        <v>1.0833333333333333</v>
      </c>
      <c r="X213" s="94">
        <f>WEEKDAY(A213,1)</f>
        <v>5</v>
      </c>
      <c r="Y213" s="120">
        <f>MONTH(A213)</f>
        <v>7</v>
      </c>
      <c r="Z213" s="125">
        <f>WEEKNUM(A213)-WEEKNUM(DATE(YEAR(A213),MONTH(A213),1))+1</f>
        <v>3</v>
      </c>
      <c r="AA213" s="126">
        <f>IF(V213="",0,V213/8)</f>
        <v>0.89375000000000004</v>
      </c>
      <c r="AB213" s="125">
        <f>IF(E213="02PZ03405",0,1)</f>
        <v>1</v>
      </c>
    </row>
    <row r="214" spans="1:28" x14ac:dyDescent="0.2">
      <c r="A214" s="37">
        <v>44755</v>
      </c>
      <c r="B214" s="31" t="s">
        <v>87</v>
      </c>
      <c r="C214" s="31" t="s">
        <v>93</v>
      </c>
      <c r="D214" s="38">
        <v>2</v>
      </c>
      <c r="E214" s="39" t="s">
        <v>18</v>
      </c>
      <c r="F214" s="33" t="str">
        <f>IF(E214="","",VLOOKUP(E214,'Base Datos'!$A$2:$M$150,2,FALSE))</f>
        <v>Mate con Dije</v>
      </c>
      <c r="G214" s="32">
        <v>46.5</v>
      </c>
      <c r="H214" s="102">
        <v>614</v>
      </c>
      <c r="I214" s="32">
        <v>1</v>
      </c>
      <c r="J214" s="32">
        <v>8</v>
      </c>
      <c r="K214" s="31">
        <v>25</v>
      </c>
      <c r="L214" s="39">
        <v>184706</v>
      </c>
      <c r="M214" s="33">
        <f>IF(E214="","",VLOOKUP(E214,'Base Datos'!$A$2:$M$150,3,FALSE))</f>
        <v>51</v>
      </c>
      <c r="N214" s="23">
        <f>IF(E214="","",VLOOKUP(E214,'Base Datos'!$A$2:$M$150,4,FALSE))</f>
        <v>71</v>
      </c>
      <c r="O214" s="23">
        <f>IF(E214="","",VLOOKUP(E214,'Base Datos'!$A$2:$M$150,5,FALSE))</f>
        <v>51</v>
      </c>
      <c r="P214" s="23">
        <f>IF(E214="","",VLOOKUP(E214,'Base Datos'!$A$2:$M$150,6,FALSE))</f>
        <v>600</v>
      </c>
      <c r="Q214" s="23">
        <f>IF(E214="","",VLOOKUP(E214,'Base Datos'!$A$2:$M$150,7,FALSE))</f>
        <v>1</v>
      </c>
      <c r="R214" s="40">
        <f>IF(E214="","",VLOOKUP(E214,'Base Datos'!$A$2:$M$150,8,FALSE))</f>
        <v>120</v>
      </c>
      <c r="S214" s="40" t="str">
        <f>IF(E214="","",VLOOKUP(E214,'Base Datos'!$A$2:$M$150,9,FALSE))</f>
        <v>PP</v>
      </c>
      <c r="T214" s="33">
        <f>IF(E214="","",(H214*I214)-(J214+K214))</f>
        <v>581</v>
      </c>
      <c r="U214" s="33">
        <f>IF(E214="","",(I214*R214)/1000)</f>
        <v>0.12</v>
      </c>
      <c r="V214" s="123">
        <f>IF(G214="",0,(G214*H214)/3600)</f>
        <v>7.9308333333333332</v>
      </c>
      <c r="W214" s="45">
        <f>IFERROR(IF(E214="","",(H214/P214)),0)</f>
        <v>1.0233333333333334</v>
      </c>
      <c r="X214" s="94">
        <f>WEEKDAY(A214,1)</f>
        <v>4</v>
      </c>
      <c r="Y214" s="120">
        <f>MONTH(A214)</f>
        <v>7</v>
      </c>
      <c r="Z214" s="125">
        <f>WEEKNUM(A214)-WEEKNUM(DATE(YEAR(A214),MONTH(A214),1))+1</f>
        <v>3</v>
      </c>
      <c r="AA214" s="126">
        <f>IF(V214="",0,V214/8)</f>
        <v>0.99135416666666665</v>
      </c>
      <c r="AB214" s="125">
        <f>IF(E214="02PZ03405",0,1)</f>
        <v>1</v>
      </c>
    </row>
    <row r="215" spans="1:28" x14ac:dyDescent="0.2">
      <c r="A215" s="37">
        <v>44754</v>
      </c>
      <c r="B215" s="119" t="s">
        <v>87</v>
      </c>
      <c r="C215" s="31" t="s">
        <v>93</v>
      </c>
      <c r="D215" s="38">
        <v>2</v>
      </c>
      <c r="E215" s="39" t="s">
        <v>18</v>
      </c>
      <c r="F215" s="33" t="str">
        <f>IF(E215="","",VLOOKUP(E215,'Base Datos'!$A$2:$M$150,2,FALSE))</f>
        <v>Mate con Dije</v>
      </c>
      <c r="G215" s="32">
        <v>48.4</v>
      </c>
      <c r="H215" s="102">
        <v>550</v>
      </c>
      <c r="I215" s="32">
        <v>1</v>
      </c>
      <c r="J215" s="32">
        <v>0</v>
      </c>
      <c r="K215" s="31">
        <v>50</v>
      </c>
      <c r="L215" s="39">
        <v>184706</v>
      </c>
      <c r="M215" s="33">
        <f>IF(E215="","",VLOOKUP(E215,'Base Datos'!$A$2:$M$150,3,FALSE))</f>
        <v>51</v>
      </c>
      <c r="N215" s="23">
        <f>IF(E215="","",VLOOKUP(E215,'Base Datos'!$A$2:$M$150,4,FALSE))</f>
        <v>71</v>
      </c>
      <c r="O215" s="23">
        <f>IF(E215="","",VLOOKUP(E215,'Base Datos'!$A$2:$M$150,5,FALSE))</f>
        <v>51</v>
      </c>
      <c r="P215" s="23">
        <f>IF(E215="","",VLOOKUP(E215,'Base Datos'!$A$2:$M$150,6,FALSE))</f>
        <v>600</v>
      </c>
      <c r="Q215" s="23">
        <f>IF(E215="","",VLOOKUP(E215,'Base Datos'!$A$2:$M$150,7,FALSE))</f>
        <v>1</v>
      </c>
      <c r="R215" s="40">
        <f>IF(E215="","",VLOOKUP(E215,'Base Datos'!$A$2:$M$150,8,FALSE))</f>
        <v>120</v>
      </c>
      <c r="S215" s="40" t="str">
        <f>IF(E215="","",VLOOKUP(E215,'Base Datos'!$A$2:$M$150,9,FALSE))</f>
        <v>PP</v>
      </c>
      <c r="T215" s="33">
        <f>IF(E215="","",(H215*I215)-(J215+K215))</f>
        <v>500</v>
      </c>
      <c r="U215" s="33">
        <f>IF(E215="","",(I215*R215)/1000)</f>
        <v>0.12</v>
      </c>
      <c r="V215" s="123">
        <f>IF(G215="",0,(G215*H215)/3600)</f>
        <v>7.3944444444444448</v>
      </c>
      <c r="W215" s="45">
        <f>IFERROR(IF(E215="","",(H215/P215)),0)</f>
        <v>0.91666666666666663</v>
      </c>
      <c r="X215" s="94">
        <f>WEEKDAY(A215,1)</f>
        <v>3</v>
      </c>
      <c r="Y215" s="120">
        <f>MONTH(A215)</f>
        <v>7</v>
      </c>
      <c r="Z215" s="125">
        <f>WEEKNUM(A215)-WEEKNUM(DATE(YEAR(A215),MONTH(A215),1))+1</f>
        <v>3</v>
      </c>
      <c r="AA215" s="126">
        <f>IF(V215="",0,V215/8)</f>
        <v>0.9243055555555556</v>
      </c>
      <c r="AB215" s="125">
        <f>IF(E215="02PZ03405",0,1)</f>
        <v>1</v>
      </c>
    </row>
    <row r="216" spans="1:28" x14ac:dyDescent="0.2">
      <c r="A216" s="37">
        <v>44753</v>
      </c>
      <c r="B216" s="31" t="s">
        <v>87</v>
      </c>
      <c r="C216" s="31" t="s">
        <v>93</v>
      </c>
      <c r="D216" s="38">
        <v>2</v>
      </c>
      <c r="E216" s="39" t="s">
        <v>18</v>
      </c>
      <c r="F216" s="33" t="str">
        <f>IF(E216="","",VLOOKUP(E216,'Base Datos'!$A$2:$M$150,2,FALSE))</f>
        <v>Mate con Dije</v>
      </c>
      <c r="G216" s="99">
        <v>50</v>
      </c>
      <c r="H216" s="102">
        <v>525</v>
      </c>
      <c r="I216" s="32">
        <v>1</v>
      </c>
      <c r="J216" s="32">
        <v>2</v>
      </c>
      <c r="K216" s="31">
        <v>6</v>
      </c>
      <c r="L216" s="39">
        <v>184706</v>
      </c>
      <c r="M216" s="33">
        <f>IF(E216="","",VLOOKUP(E216,'Base Datos'!$A$2:$M$150,3,FALSE))</f>
        <v>51</v>
      </c>
      <c r="N216" s="23">
        <f>IF(E216="","",VLOOKUP(E216,'Base Datos'!$A$2:$M$150,4,FALSE))</f>
        <v>71</v>
      </c>
      <c r="O216" s="23">
        <f>IF(E216="","",VLOOKUP(E216,'Base Datos'!$A$2:$M$150,5,FALSE))</f>
        <v>51</v>
      </c>
      <c r="P216" s="23">
        <f>IF(E216="","",VLOOKUP(E216,'Base Datos'!$A$2:$M$150,6,FALSE))</f>
        <v>600</v>
      </c>
      <c r="Q216" s="23">
        <f>IF(E216="","",VLOOKUP(E216,'Base Datos'!$A$2:$M$150,7,FALSE))</f>
        <v>1</v>
      </c>
      <c r="R216" s="40">
        <f>IF(E216="","",VLOOKUP(E216,'Base Datos'!$A$2:$M$150,8,FALSE))</f>
        <v>120</v>
      </c>
      <c r="S216" s="40" t="str">
        <f>IF(E216="","",VLOOKUP(E216,'Base Datos'!$A$2:$M$150,9,FALSE))</f>
        <v>PP</v>
      </c>
      <c r="T216" s="33">
        <f>IF(E216="","",(H216*I216)-(J216+K216))</f>
        <v>517</v>
      </c>
      <c r="U216" s="33">
        <f>IF(E216="","",(I216*R216)/1000)</f>
        <v>0.12</v>
      </c>
      <c r="V216" s="123">
        <f>IF(G216="",0,(G216*H216)/3600)</f>
        <v>7.291666666666667</v>
      </c>
      <c r="W216" s="45">
        <f>IFERROR(IF(E216="","",(H216/P216)),0)</f>
        <v>0.875</v>
      </c>
      <c r="X216" s="94">
        <f>WEEKDAY(A216,1)</f>
        <v>2</v>
      </c>
      <c r="Y216" s="120">
        <f>MONTH(A216)</f>
        <v>7</v>
      </c>
      <c r="Z216" s="125">
        <f>WEEKNUM(A216)-WEEKNUM(DATE(YEAR(A216),MONTH(A216),1))+1</f>
        <v>3</v>
      </c>
      <c r="AA216" s="126">
        <f>IF(V216="",0,V216/8)</f>
        <v>0.91145833333333337</v>
      </c>
      <c r="AB216" s="125">
        <f>IF(E216="02PZ03405",0,1)</f>
        <v>1</v>
      </c>
    </row>
    <row r="217" spans="1:28" x14ac:dyDescent="0.2">
      <c r="A217" s="37">
        <v>44750</v>
      </c>
      <c r="B217" s="31" t="s">
        <v>87</v>
      </c>
      <c r="C217" s="31" t="s">
        <v>93</v>
      </c>
      <c r="D217" s="38">
        <v>2</v>
      </c>
      <c r="E217" s="39" t="s">
        <v>18</v>
      </c>
      <c r="F217" s="33" t="str">
        <f>IF(E217="","",VLOOKUP(E217,'Base Datos'!$A$2:$M$150,2,FALSE))</f>
        <v>Mate con Dije</v>
      </c>
      <c r="G217" s="32">
        <v>51</v>
      </c>
      <c r="H217" s="102">
        <v>438</v>
      </c>
      <c r="I217" s="32">
        <v>1</v>
      </c>
      <c r="J217" s="32"/>
      <c r="K217" s="31">
        <v>25</v>
      </c>
      <c r="L217" s="39">
        <v>184706</v>
      </c>
      <c r="M217" s="33">
        <f>IF(E217="","",VLOOKUP(E217,'Base Datos'!$A$2:$M$150,3,FALSE))</f>
        <v>51</v>
      </c>
      <c r="N217" s="23">
        <f>IF(E217="","",VLOOKUP(E217,'Base Datos'!$A$2:$M$150,4,FALSE))</f>
        <v>71</v>
      </c>
      <c r="O217" s="23">
        <f>IF(E217="","",VLOOKUP(E217,'Base Datos'!$A$2:$M$150,5,FALSE))</f>
        <v>51</v>
      </c>
      <c r="P217" s="23">
        <f>IF(E217="","",VLOOKUP(E217,'Base Datos'!$A$2:$M$150,6,FALSE))</f>
        <v>600</v>
      </c>
      <c r="Q217" s="23">
        <f>IF(E217="","",VLOOKUP(E217,'Base Datos'!$A$2:$M$150,7,FALSE))</f>
        <v>1</v>
      </c>
      <c r="R217" s="40">
        <f>IF(E217="","",VLOOKUP(E217,'Base Datos'!$A$2:$M$150,8,FALSE))</f>
        <v>120</v>
      </c>
      <c r="S217" s="40" t="str">
        <f>IF(E217="","",VLOOKUP(E217,'Base Datos'!$A$2:$M$150,9,FALSE))</f>
        <v>PP</v>
      </c>
      <c r="T217" s="33">
        <f>IF(E217="","",(H217*I217)-(J217+K217))</f>
        <v>413</v>
      </c>
      <c r="U217" s="33">
        <f>IF(E217="","",(I217*R217)/1000)</f>
        <v>0.12</v>
      </c>
      <c r="V217" s="123">
        <f>IF(G217="",0,(G217*H217)/3600)</f>
        <v>6.2050000000000001</v>
      </c>
      <c r="W217" s="45">
        <f>IFERROR(IF(E217="","",(H217/P217)),0)</f>
        <v>0.73</v>
      </c>
      <c r="X217" s="94">
        <f>WEEKDAY(A217,1)</f>
        <v>6</v>
      </c>
      <c r="Y217" s="120">
        <f>MONTH(A217)</f>
        <v>7</v>
      </c>
      <c r="Z217" s="125">
        <f>WEEKNUM(A217)-WEEKNUM(DATE(YEAR(A217),MONTH(A217),1))+1</f>
        <v>2</v>
      </c>
      <c r="AA217" s="126">
        <f>IF(V217="",0,V217/8)</f>
        <v>0.77562500000000001</v>
      </c>
      <c r="AB217" s="125">
        <f>IF(E217="02PZ03405",0,1)</f>
        <v>1</v>
      </c>
    </row>
    <row r="218" spans="1:28" x14ac:dyDescent="0.2">
      <c r="A218" s="101">
        <v>44749</v>
      </c>
      <c r="B218" s="31" t="s">
        <v>87</v>
      </c>
      <c r="C218" s="31" t="s">
        <v>93</v>
      </c>
      <c r="D218" s="38">
        <v>2</v>
      </c>
      <c r="E218" s="39" t="s">
        <v>18</v>
      </c>
      <c r="F218" s="33" t="str">
        <f>IF(E218="","",VLOOKUP(E218,'Base Datos'!$A$2:$M$150,2,FALSE))</f>
        <v>Mate con Dije</v>
      </c>
      <c r="G218" s="32">
        <v>51</v>
      </c>
      <c r="H218" s="32">
        <v>512</v>
      </c>
      <c r="I218" s="32">
        <v>1</v>
      </c>
      <c r="J218" s="32">
        <v>3</v>
      </c>
      <c r="K218" s="31">
        <v>5</v>
      </c>
      <c r="L218" s="39">
        <v>183471</v>
      </c>
      <c r="M218" s="33">
        <f>IF(E218="","",VLOOKUP(E218,'Base Datos'!$A$2:$M$150,3,FALSE))</f>
        <v>51</v>
      </c>
      <c r="N218" s="23">
        <f>IF(E218="","",VLOOKUP(E218,'Base Datos'!$A$2:$M$150,4,FALSE))</f>
        <v>71</v>
      </c>
      <c r="O218" s="23">
        <f>IF(E218="","",VLOOKUP(E218,'Base Datos'!$A$2:$M$150,5,FALSE))</f>
        <v>51</v>
      </c>
      <c r="P218" s="23">
        <f>IF(E218="","",VLOOKUP(E218,'Base Datos'!$A$2:$M$150,6,FALSE))</f>
        <v>600</v>
      </c>
      <c r="Q218" s="23">
        <f>IF(E218="","",VLOOKUP(E218,'Base Datos'!$A$2:$M$150,7,FALSE))</f>
        <v>1</v>
      </c>
      <c r="R218" s="40">
        <f>IF(E218="","",VLOOKUP(E218,'Base Datos'!$A$2:$M$150,8,FALSE))</f>
        <v>120</v>
      </c>
      <c r="S218" s="40" t="str">
        <f>IF(E218="","",VLOOKUP(E218,'Base Datos'!$A$2:$M$150,9,FALSE))</f>
        <v>PP</v>
      </c>
      <c r="T218" s="33">
        <f>IF(E218="","",(H218*I218)-(J218+K218))</f>
        <v>504</v>
      </c>
      <c r="U218" s="33">
        <f>IF(E218="","",(H218*R218)/1000)</f>
        <v>61.44</v>
      </c>
      <c r="V218" s="123">
        <f>IF(G218="",0,(G218*H218)/3600)</f>
        <v>7.253333333333333</v>
      </c>
      <c r="W218" s="45">
        <f>IFERROR(IF(E218="","",(H218/P218)),0)</f>
        <v>0.85333333333333339</v>
      </c>
      <c r="X218" s="94">
        <f>WEEKDAY(A218,1)</f>
        <v>5</v>
      </c>
      <c r="Y218" s="120">
        <f>MONTH(A218)</f>
        <v>7</v>
      </c>
      <c r="Z218" s="125">
        <f>WEEKNUM(A218)-WEEKNUM(DATE(YEAR(A218),MONTH(A218),1))+1</f>
        <v>2</v>
      </c>
      <c r="AA218" s="126">
        <f>IF(V218="",0,V218/8)</f>
        <v>0.90666666666666662</v>
      </c>
      <c r="AB218" s="125">
        <f>IF(E218="02PZ03405",0,1)</f>
        <v>1</v>
      </c>
    </row>
    <row r="219" spans="1:28" x14ac:dyDescent="0.2">
      <c r="A219" s="37">
        <v>44777</v>
      </c>
      <c r="B219" s="31" t="s">
        <v>87</v>
      </c>
      <c r="C219" s="31" t="s">
        <v>92</v>
      </c>
      <c r="D219" s="38">
        <v>5</v>
      </c>
      <c r="E219" s="39" t="s">
        <v>44</v>
      </c>
      <c r="F219" s="33" t="str">
        <f>IF(E219="","",VLOOKUP(E219,'Base Datos'!$A$2:$M$150,2,FALSE))</f>
        <v>Mate con Asa PP</v>
      </c>
      <c r="G219" s="99">
        <v>39</v>
      </c>
      <c r="H219" s="102">
        <v>655</v>
      </c>
      <c r="I219" s="32">
        <v>1</v>
      </c>
      <c r="J219" s="32"/>
      <c r="K219" s="31">
        <v>15</v>
      </c>
      <c r="L219" s="39">
        <v>184975</v>
      </c>
      <c r="M219" s="33">
        <f>IF(E219="","",VLOOKUP(E219,'Base Datos'!$A$2:$M$150,3,FALSE))</f>
        <v>48</v>
      </c>
      <c r="N219" s="23">
        <f>IF(E219="","",VLOOKUP(E219,'Base Datos'!$A$2:$M$150,4,FALSE))</f>
        <v>75</v>
      </c>
      <c r="O219" s="23">
        <f>IF(E219="","",VLOOKUP(E219,'Base Datos'!$A$2:$M$150,5,FALSE))</f>
        <v>48</v>
      </c>
      <c r="P219" s="23">
        <f>IF(E219="","",VLOOKUP(E219,'Base Datos'!$A$2:$M$150,6,FALSE))</f>
        <v>600</v>
      </c>
      <c r="Q219" s="23">
        <f>IF(E219="","",VLOOKUP(E219,'Base Datos'!$A$2:$M$150,7,FALSE))</f>
        <v>1</v>
      </c>
      <c r="R219" s="40">
        <f>IF(E219="","",VLOOKUP(E219,'Base Datos'!$A$2:$M$150,8,FALSE))</f>
        <v>105</v>
      </c>
      <c r="S219" s="40" t="str">
        <f>IF(E219="","",VLOOKUP(E219,'Base Datos'!$A$2:$M$150,9,FALSE))</f>
        <v>PP</v>
      </c>
      <c r="T219" s="33">
        <f>IF(E219="","",(H219*I219)-(J219+K219))</f>
        <v>640</v>
      </c>
      <c r="U219" s="33">
        <f>IF(E219="","",(I219*R219)/1000)</f>
        <v>0.105</v>
      </c>
      <c r="V219" s="123">
        <f>IF(G219="",0,(G219*H219)/3600)</f>
        <v>7.0958333333333332</v>
      </c>
      <c r="W219" s="45">
        <f>IFERROR(IF(E219="","",(H219/P219)),0)</f>
        <v>1.0916666666666666</v>
      </c>
      <c r="X219" s="23">
        <f>WEEKDAY(A219,1)</f>
        <v>5</v>
      </c>
      <c r="Y219" s="120">
        <f>MONTH(A219)</f>
        <v>8</v>
      </c>
      <c r="Z219" s="125">
        <f>WEEKNUM(A219)-WEEKNUM(DATE(YEAR(A219),MONTH(A219),1))+1</f>
        <v>1</v>
      </c>
      <c r="AA219" s="126">
        <v>0.01</v>
      </c>
      <c r="AB219" s="125">
        <f>IF(E219="02PZ03405",0,1)</f>
        <v>1</v>
      </c>
    </row>
    <row r="220" spans="1:28" x14ac:dyDescent="0.2">
      <c r="A220" s="37">
        <v>44776</v>
      </c>
      <c r="B220" s="31" t="s">
        <v>87</v>
      </c>
      <c r="C220" s="31" t="s">
        <v>92</v>
      </c>
      <c r="D220" s="38">
        <v>4</v>
      </c>
      <c r="E220" s="39" t="s">
        <v>44</v>
      </c>
      <c r="F220" s="33" t="str">
        <f>IF(E220="","",VLOOKUP(E220,'Base Datos'!$A$2:$M$150,2,FALSE))</f>
        <v>Mate con Asa PP</v>
      </c>
      <c r="G220" s="99">
        <v>37.799999999999997</v>
      </c>
      <c r="H220" s="102">
        <v>665</v>
      </c>
      <c r="I220" s="32">
        <v>1</v>
      </c>
      <c r="J220" s="32"/>
      <c r="K220" s="31">
        <v>10</v>
      </c>
      <c r="L220" s="39">
        <v>184975</v>
      </c>
      <c r="M220" s="33">
        <f>IF(E220="","",VLOOKUP(E220,'Base Datos'!$A$2:$M$150,3,FALSE))</f>
        <v>48</v>
      </c>
      <c r="N220" s="23">
        <f>IF(E220="","",VLOOKUP(E220,'Base Datos'!$A$2:$M$150,4,FALSE))</f>
        <v>75</v>
      </c>
      <c r="O220" s="23">
        <f>IF(E220="","",VLOOKUP(E220,'Base Datos'!$A$2:$M$150,5,FALSE))</f>
        <v>48</v>
      </c>
      <c r="P220" s="23">
        <f>IF(E220="","",VLOOKUP(E220,'Base Datos'!$A$2:$M$150,6,FALSE))</f>
        <v>600</v>
      </c>
      <c r="Q220" s="23">
        <f>IF(E220="","",VLOOKUP(E220,'Base Datos'!$A$2:$M$150,7,FALSE))</f>
        <v>1</v>
      </c>
      <c r="R220" s="40">
        <f>IF(E220="","",VLOOKUP(E220,'Base Datos'!$A$2:$M$150,8,FALSE))</f>
        <v>105</v>
      </c>
      <c r="S220" s="40" t="str">
        <f>IF(E220="","",VLOOKUP(E220,'Base Datos'!$A$2:$M$150,9,FALSE))</f>
        <v>PP</v>
      </c>
      <c r="T220" s="33">
        <f>IF(E220="","",(H220*I220)-(J220+K220))</f>
        <v>655</v>
      </c>
      <c r="U220" s="33">
        <f>IF(E220="","",(I220*R220)/1000)</f>
        <v>0.105</v>
      </c>
      <c r="V220" s="123">
        <f>IF(G220="",0,(G220*H220)/3600)</f>
        <v>6.982499999999999</v>
      </c>
      <c r="W220" s="45">
        <f>IFERROR(IF(E220="","",(H220/P220)),0)</f>
        <v>1.1083333333333334</v>
      </c>
      <c r="X220" s="23">
        <f>WEEKDAY(A220,1)</f>
        <v>4</v>
      </c>
      <c r="Y220" s="120">
        <f>MONTH(A220)</f>
        <v>8</v>
      </c>
      <c r="Z220" s="125">
        <f>WEEKNUM(A220)-WEEKNUM(DATE(YEAR(A220),MONTH(A220),1))+1</f>
        <v>1</v>
      </c>
      <c r="AA220" s="126">
        <f>IF(V220="",0,V220/8)</f>
        <v>0.87281249999999988</v>
      </c>
      <c r="AB220" s="125">
        <f>IF(E220="02PZ03405",0,1)</f>
        <v>1</v>
      </c>
    </row>
    <row r="221" spans="1:28" x14ac:dyDescent="0.2">
      <c r="A221" s="37">
        <v>44764</v>
      </c>
      <c r="B221" s="31" t="s">
        <v>87</v>
      </c>
      <c r="C221" s="31" t="s">
        <v>92</v>
      </c>
      <c r="D221" s="38">
        <v>5</v>
      </c>
      <c r="E221" s="39" t="s">
        <v>44</v>
      </c>
      <c r="F221" s="33" t="str">
        <f>IF(E221="","",VLOOKUP(E221,'Base Datos'!$A$2:$M$150,2,FALSE))</f>
        <v>Mate con Asa PP</v>
      </c>
      <c r="G221" s="99">
        <v>39</v>
      </c>
      <c r="H221" s="102">
        <v>730</v>
      </c>
      <c r="I221" s="32">
        <v>1</v>
      </c>
      <c r="J221" s="32"/>
      <c r="K221" s="31">
        <v>10</v>
      </c>
      <c r="L221" s="39">
        <v>184975</v>
      </c>
      <c r="M221" s="33">
        <f>IF(E221="","",VLOOKUP(E221,'Base Datos'!$A$2:$M$150,3,FALSE))</f>
        <v>48</v>
      </c>
      <c r="N221" s="23">
        <f>IF(E221="","",VLOOKUP(E221,'Base Datos'!$A$2:$M$150,4,FALSE))</f>
        <v>75</v>
      </c>
      <c r="O221" s="23">
        <f>IF(E221="","",VLOOKUP(E221,'Base Datos'!$A$2:$M$150,5,FALSE))</f>
        <v>48</v>
      </c>
      <c r="P221" s="23">
        <f>IF(E221="","",VLOOKUP(E221,'Base Datos'!$A$2:$M$150,6,FALSE))</f>
        <v>600</v>
      </c>
      <c r="Q221" s="23">
        <f>IF(E221="","",VLOOKUP(E221,'Base Datos'!$A$2:$M$150,7,FALSE))</f>
        <v>1</v>
      </c>
      <c r="R221" s="40">
        <f>IF(E221="","",VLOOKUP(E221,'Base Datos'!$A$2:$M$150,8,FALSE))</f>
        <v>105</v>
      </c>
      <c r="S221" s="40" t="str">
        <f>IF(E221="","",VLOOKUP(E221,'Base Datos'!$A$2:$M$150,9,FALSE))</f>
        <v>PP</v>
      </c>
      <c r="T221" s="33">
        <f>IF(E221="","",(H221*I221)-(J221+K221))</f>
        <v>720</v>
      </c>
      <c r="U221" s="33">
        <f>IF(E221="","",(I221*R221)/1000)</f>
        <v>0.105</v>
      </c>
      <c r="V221" s="123">
        <f>IF(G221="",0,(G221*H221)/3600)</f>
        <v>7.9083333333333332</v>
      </c>
      <c r="W221" s="45">
        <f>IFERROR(IF(E221="","",(H221/P221)),0)</f>
        <v>1.2166666666666666</v>
      </c>
      <c r="X221" s="94">
        <f>WEEKDAY(A221,1)</f>
        <v>6</v>
      </c>
      <c r="Y221" s="120">
        <f>MONTH(A221)</f>
        <v>7</v>
      </c>
      <c r="Z221" s="125">
        <f>WEEKNUM(A221)-WEEKNUM(DATE(YEAR(A221),MONTH(A221),1))+1</f>
        <v>4</v>
      </c>
      <c r="AA221" s="126">
        <f>IF(V221="",0,V221/8)</f>
        <v>0.98854166666666665</v>
      </c>
      <c r="AB221" s="125">
        <f>IF(E221="02PZ03405",0,1)</f>
        <v>1</v>
      </c>
    </row>
    <row r="222" spans="1:28" x14ac:dyDescent="0.2">
      <c r="A222" s="37">
        <v>44763</v>
      </c>
      <c r="B222" s="31" t="s">
        <v>87</v>
      </c>
      <c r="C222" s="31" t="s">
        <v>92</v>
      </c>
      <c r="D222" s="38">
        <v>5</v>
      </c>
      <c r="E222" s="39" t="s">
        <v>44</v>
      </c>
      <c r="F222" s="33" t="str">
        <f>IF(E222="","",VLOOKUP(E222,'Base Datos'!$A$2:$M$150,2,FALSE))</f>
        <v>Mate con Asa PP</v>
      </c>
      <c r="G222" s="99">
        <v>35</v>
      </c>
      <c r="H222" s="102">
        <v>680</v>
      </c>
      <c r="I222" s="32">
        <v>1</v>
      </c>
      <c r="J222" s="32">
        <v>0</v>
      </c>
      <c r="K222" s="31">
        <v>20</v>
      </c>
      <c r="L222" s="39">
        <v>184706</v>
      </c>
      <c r="M222" s="33">
        <f>IF(E222="","",VLOOKUP(E222,'Base Datos'!$A$2:$M$150,3,FALSE))</f>
        <v>48</v>
      </c>
      <c r="N222" s="23">
        <f>IF(E222="","",VLOOKUP(E222,'Base Datos'!$A$2:$M$150,4,FALSE))</f>
        <v>75</v>
      </c>
      <c r="O222" s="23">
        <f>IF(E222="","",VLOOKUP(E222,'Base Datos'!$A$2:$M$150,5,FALSE))</f>
        <v>48</v>
      </c>
      <c r="P222" s="23">
        <f>IF(E222="","",VLOOKUP(E222,'Base Datos'!$A$2:$M$150,6,FALSE))</f>
        <v>600</v>
      </c>
      <c r="Q222" s="23">
        <f>IF(E222="","",VLOOKUP(E222,'Base Datos'!$A$2:$M$150,7,FALSE))</f>
        <v>1</v>
      </c>
      <c r="R222" s="40">
        <f>IF(E222="","",VLOOKUP(E222,'Base Datos'!$A$2:$M$150,8,FALSE))</f>
        <v>105</v>
      </c>
      <c r="S222" s="40" t="str">
        <f>IF(E222="","",VLOOKUP(E222,'Base Datos'!$A$2:$M$150,9,FALSE))</f>
        <v>PP</v>
      </c>
      <c r="T222" s="33">
        <f>IF(E222="","",(H222*I222)-(J222+K222))</f>
        <v>660</v>
      </c>
      <c r="U222" s="33">
        <f>IF(E222="","",(I222*R222)/1000)</f>
        <v>0.105</v>
      </c>
      <c r="V222" s="123">
        <f>IF(G222="",0,(G222*H222)/3600)</f>
        <v>6.6111111111111107</v>
      </c>
      <c r="W222" s="45">
        <f>IFERROR(IF(E222="","",(H222/P222)),0)</f>
        <v>1.1333333333333333</v>
      </c>
      <c r="X222" s="94">
        <f>WEEKDAY(A222,1)</f>
        <v>5</v>
      </c>
      <c r="Y222" s="120">
        <f>MONTH(A222)</f>
        <v>7</v>
      </c>
      <c r="Z222" s="125">
        <f>WEEKNUM(A222)-WEEKNUM(DATE(YEAR(A222),MONTH(A222),1))+1</f>
        <v>4</v>
      </c>
      <c r="AA222" s="126">
        <f>IF(V222="",0,V222/8)</f>
        <v>0.82638888888888884</v>
      </c>
      <c r="AB222" s="125">
        <f>IF(E222="02PZ03405",0,1)</f>
        <v>1</v>
      </c>
    </row>
    <row r="223" spans="1:28" x14ac:dyDescent="0.2">
      <c r="A223" s="37">
        <v>44762</v>
      </c>
      <c r="B223" s="31" t="s">
        <v>87</v>
      </c>
      <c r="C223" s="31" t="s">
        <v>92</v>
      </c>
      <c r="D223" s="38">
        <v>5</v>
      </c>
      <c r="E223" s="39" t="s">
        <v>44</v>
      </c>
      <c r="F223" s="33" t="str">
        <f>IF(E223="","",VLOOKUP(E223,'Base Datos'!$A$2:$M$150,2,FALSE))</f>
        <v>Mate con Asa PP</v>
      </c>
      <c r="G223" s="99">
        <v>70</v>
      </c>
      <c r="H223" s="102">
        <v>522</v>
      </c>
      <c r="I223" s="32">
        <v>1</v>
      </c>
      <c r="J223" s="32"/>
      <c r="K223" s="31">
        <v>35</v>
      </c>
      <c r="L223" s="39">
        <v>184706</v>
      </c>
      <c r="M223" s="33">
        <f>IF(E223="","",VLOOKUP(E223,'Base Datos'!$A$2:$M$150,3,FALSE))</f>
        <v>48</v>
      </c>
      <c r="N223" s="23">
        <f>IF(E223="","",VLOOKUP(E223,'Base Datos'!$A$2:$M$150,4,FALSE))</f>
        <v>75</v>
      </c>
      <c r="O223" s="23">
        <f>IF(E223="","",VLOOKUP(E223,'Base Datos'!$A$2:$M$150,5,FALSE))</f>
        <v>48</v>
      </c>
      <c r="P223" s="23">
        <f>IF(E223="","",VLOOKUP(E223,'Base Datos'!$A$2:$M$150,6,FALSE))</f>
        <v>600</v>
      </c>
      <c r="Q223" s="23">
        <f>IF(E223="","",VLOOKUP(E223,'Base Datos'!$A$2:$M$150,7,FALSE))</f>
        <v>1</v>
      </c>
      <c r="R223" s="40">
        <f>IF(E223="","",VLOOKUP(E223,'Base Datos'!$A$2:$M$150,8,FALSE))</f>
        <v>105</v>
      </c>
      <c r="S223" s="40" t="str">
        <f>IF(E223="","",VLOOKUP(E223,'Base Datos'!$A$2:$M$150,9,FALSE))</f>
        <v>PP</v>
      </c>
      <c r="T223" s="33">
        <f>IF(E223="","",(H223*I223)-(J223+K223))</f>
        <v>487</v>
      </c>
      <c r="U223" s="33">
        <f>IF(E223="","",(I223*R223)/1000)</f>
        <v>0.105</v>
      </c>
      <c r="V223" s="123">
        <f>IF(G223="",0,(G223*H223)/3600)</f>
        <v>10.15</v>
      </c>
      <c r="W223" s="45">
        <f>IFERROR(IF(E223="","",(H223/P223)),0)</f>
        <v>0.87</v>
      </c>
      <c r="X223" s="94">
        <f>WEEKDAY(A223,1)</f>
        <v>4</v>
      </c>
      <c r="Y223" s="120">
        <f>MONTH(A223)</f>
        <v>7</v>
      </c>
      <c r="Z223" s="125">
        <f>WEEKNUM(A223)-WEEKNUM(DATE(YEAR(A223),MONTH(A223),1))+1</f>
        <v>4</v>
      </c>
      <c r="AA223" s="126">
        <f>IF(V223="",0,V223/8)</f>
        <v>1.26875</v>
      </c>
      <c r="AB223" s="125">
        <f>IF(E223="02PZ03405",0,1)</f>
        <v>1</v>
      </c>
    </row>
    <row r="224" spans="1:28" x14ac:dyDescent="0.2">
      <c r="A224" s="37">
        <v>44761</v>
      </c>
      <c r="B224" s="31" t="s">
        <v>87</v>
      </c>
      <c r="C224" s="31" t="s">
        <v>92</v>
      </c>
      <c r="D224" s="38">
        <v>5</v>
      </c>
      <c r="E224" s="39" t="s">
        <v>44</v>
      </c>
      <c r="F224" s="33" t="str">
        <f>IF(E224="","",VLOOKUP(E224,'Base Datos'!$A$2:$M$150,2,FALSE))</f>
        <v>Mate con Asa PP</v>
      </c>
      <c r="G224" s="99">
        <v>35</v>
      </c>
      <c r="H224" s="102">
        <v>720</v>
      </c>
      <c r="I224" s="32">
        <v>1</v>
      </c>
      <c r="J224" s="32">
        <v>0</v>
      </c>
      <c r="K224" s="31"/>
      <c r="L224" s="39">
        <v>184706</v>
      </c>
      <c r="M224" s="33">
        <f>IF(E224="","",VLOOKUP(E224,'Base Datos'!$A$2:$M$150,3,FALSE))</f>
        <v>48</v>
      </c>
      <c r="N224" s="23">
        <f>IF(E224="","",VLOOKUP(E224,'Base Datos'!$A$2:$M$150,4,FALSE))</f>
        <v>75</v>
      </c>
      <c r="O224" s="23">
        <f>IF(E224="","",VLOOKUP(E224,'Base Datos'!$A$2:$M$150,5,FALSE))</f>
        <v>48</v>
      </c>
      <c r="P224" s="23">
        <f>IF(E224="","",VLOOKUP(E224,'Base Datos'!$A$2:$M$150,6,FALSE))</f>
        <v>600</v>
      </c>
      <c r="Q224" s="23">
        <f>IF(E224="","",VLOOKUP(E224,'Base Datos'!$A$2:$M$150,7,FALSE))</f>
        <v>1</v>
      </c>
      <c r="R224" s="40">
        <f>IF(E224="","",VLOOKUP(E224,'Base Datos'!$A$2:$M$150,8,FALSE))</f>
        <v>105</v>
      </c>
      <c r="S224" s="40" t="str">
        <f>IF(E224="","",VLOOKUP(E224,'Base Datos'!$A$2:$M$150,9,FALSE))</f>
        <v>PP</v>
      </c>
      <c r="T224" s="33">
        <f>IF(E224="","",(H224*I224)-(J224+K224))</f>
        <v>720</v>
      </c>
      <c r="U224" s="33">
        <f>IF(E224="","",(I224*R224)/1000)</f>
        <v>0.105</v>
      </c>
      <c r="V224" s="123">
        <f>IF(G224="",0,(G224*H224)/3600)</f>
        <v>7</v>
      </c>
      <c r="W224" s="45">
        <f>IFERROR(IF(E224="","",(H224/P224)),0)</f>
        <v>1.2</v>
      </c>
      <c r="X224" s="94">
        <f>WEEKDAY(A224,1)</f>
        <v>3</v>
      </c>
      <c r="Y224" s="120">
        <f>MONTH(A224)</f>
        <v>7</v>
      </c>
      <c r="Z224" s="125">
        <f>WEEKNUM(A224)-WEEKNUM(DATE(YEAR(A224),MONTH(A224),1))+1</f>
        <v>4</v>
      </c>
      <c r="AA224" s="126">
        <f>IF(V224="",0,V224/8)</f>
        <v>0.875</v>
      </c>
      <c r="AB224" s="125">
        <f>IF(E224="02PZ03405",0,1)</f>
        <v>1</v>
      </c>
    </row>
    <row r="225" spans="1:28" x14ac:dyDescent="0.2">
      <c r="A225" s="37">
        <v>44760</v>
      </c>
      <c r="B225" s="31" t="s">
        <v>87</v>
      </c>
      <c r="C225" s="31" t="s">
        <v>92</v>
      </c>
      <c r="D225" s="38">
        <v>5</v>
      </c>
      <c r="E225" s="39" t="s">
        <v>44</v>
      </c>
      <c r="F225" s="33" t="str">
        <f>IF(E225="","",VLOOKUP(E225,'Base Datos'!$A$2:$M$150,2,FALSE))</f>
        <v>Mate con Asa PP</v>
      </c>
      <c r="G225" s="99">
        <v>40</v>
      </c>
      <c r="H225" s="102">
        <v>685</v>
      </c>
      <c r="I225" s="32">
        <v>1</v>
      </c>
      <c r="J225" s="32">
        <v>0</v>
      </c>
      <c r="K225" s="31">
        <v>15</v>
      </c>
      <c r="L225" s="39">
        <v>184706</v>
      </c>
      <c r="M225" s="33">
        <f>IF(E225="","",VLOOKUP(E225,'Base Datos'!$A$2:$M$150,3,FALSE))</f>
        <v>48</v>
      </c>
      <c r="N225" s="23">
        <f>IF(E225="","",VLOOKUP(E225,'Base Datos'!$A$2:$M$150,4,FALSE))</f>
        <v>75</v>
      </c>
      <c r="O225" s="23">
        <f>IF(E225="","",VLOOKUP(E225,'Base Datos'!$A$2:$M$150,5,FALSE))</f>
        <v>48</v>
      </c>
      <c r="P225" s="23">
        <f>IF(E225="","",VLOOKUP(E225,'Base Datos'!$A$2:$M$150,6,FALSE))</f>
        <v>600</v>
      </c>
      <c r="Q225" s="23">
        <f>IF(E225="","",VLOOKUP(E225,'Base Datos'!$A$2:$M$150,7,FALSE))</f>
        <v>1</v>
      </c>
      <c r="R225" s="40">
        <f>IF(E225="","",VLOOKUP(E225,'Base Datos'!$A$2:$M$150,8,FALSE))</f>
        <v>105</v>
      </c>
      <c r="S225" s="40" t="str">
        <f>IF(E225="","",VLOOKUP(E225,'Base Datos'!$A$2:$M$150,9,FALSE))</f>
        <v>PP</v>
      </c>
      <c r="T225" s="33">
        <f>IF(E225="","",(H225*I225)-(J225+K225))</f>
        <v>670</v>
      </c>
      <c r="U225" s="33">
        <f>IF(E225="","",(I225*R225)/1000)</f>
        <v>0.105</v>
      </c>
      <c r="V225" s="123">
        <f>IF(G225="",0,(G225*H225)/3600)</f>
        <v>7.6111111111111107</v>
      </c>
      <c r="W225" s="45">
        <f>IFERROR(IF(E225="","",(H225/P225)),0)</f>
        <v>1.1416666666666666</v>
      </c>
      <c r="X225" s="94">
        <f>WEEKDAY(A225,1)</f>
        <v>2</v>
      </c>
      <c r="Y225" s="120">
        <f>MONTH(A225)</f>
        <v>7</v>
      </c>
      <c r="Z225" s="125">
        <f>WEEKNUM(A225)-WEEKNUM(DATE(YEAR(A225),MONTH(A225),1))+1</f>
        <v>4</v>
      </c>
      <c r="AA225" s="126">
        <f>IF(V225="",0,V225/8)</f>
        <v>0.95138888888888884</v>
      </c>
      <c r="AB225" s="125">
        <f>IF(E225="02PZ03405",0,1)</f>
        <v>1</v>
      </c>
    </row>
    <row r="226" spans="1:28" x14ac:dyDescent="0.2">
      <c r="A226" s="37">
        <v>44757</v>
      </c>
      <c r="B226" s="119" t="s">
        <v>87</v>
      </c>
      <c r="C226" s="31" t="s">
        <v>92</v>
      </c>
      <c r="D226" s="38">
        <v>5</v>
      </c>
      <c r="E226" s="39" t="s">
        <v>44</v>
      </c>
      <c r="F226" s="33" t="str">
        <f>IF(E226="","",VLOOKUP(E226,'Base Datos'!$A$2:$M$150,2,FALSE))</f>
        <v>Mate con Asa PP</v>
      </c>
      <c r="G226" s="99">
        <v>35</v>
      </c>
      <c r="H226" s="102">
        <v>650</v>
      </c>
      <c r="I226" s="32">
        <v>1</v>
      </c>
      <c r="J226" s="32"/>
      <c r="K226" s="31">
        <v>30</v>
      </c>
      <c r="L226" s="39">
        <v>184706</v>
      </c>
      <c r="M226" s="33">
        <f>IF(E226="","",VLOOKUP(E226,'Base Datos'!$A$2:$M$150,3,FALSE))</f>
        <v>48</v>
      </c>
      <c r="N226" s="23">
        <f>IF(E226="","",VLOOKUP(E226,'Base Datos'!$A$2:$M$150,4,FALSE))</f>
        <v>75</v>
      </c>
      <c r="O226" s="23">
        <f>IF(E226="","",VLOOKUP(E226,'Base Datos'!$A$2:$M$150,5,FALSE))</f>
        <v>48</v>
      </c>
      <c r="P226" s="23">
        <f>IF(E226="","",VLOOKUP(E226,'Base Datos'!$A$2:$M$150,6,FALSE))</f>
        <v>600</v>
      </c>
      <c r="Q226" s="23">
        <f>IF(E226="","",VLOOKUP(E226,'Base Datos'!$A$2:$M$150,7,FALSE))</f>
        <v>1</v>
      </c>
      <c r="R226" s="40">
        <f>IF(E226="","",VLOOKUP(E226,'Base Datos'!$A$2:$M$150,8,FALSE))</f>
        <v>105</v>
      </c>
      <c r="S226" s="40" t="str">
        <f>IF(E226="","",VLOOKUP(E226,'Base Datos'!$A$2:$M$150,9,FALSE))</f>
        <v>PP</v>
      </c>
      <c r="T226" s="33">
        <f>IF(E226="","",(H226*I226)-(J226+K226))</f>
        <v>620</v>
      </c>
      <c r="U226" s="33">
        <f>IF(E226="","",(I226*R226)/1000)</f>
        <v>0.105</v>
      </c>
      <c r="V226" s="123">
        <f>IF(G226="",0,(G226*H226)/3600)</f>
        <v>6.3194444444444446</v>
      </c>
      <c r="W226" s="45">
        <f>IFERROR(IF(E226="","",(H226/P226)),0)</f>
        <v>1.0833333333333333</v>
      </c>
      <c r="X226" s="94">
        <f>WEEKDAY(A226,1)</f>
        <v>6</v>
      </c>
      <c r="Y226" s="120">
        <f>MONTH(A226)</f>
        <v>7</v>
      </c>
      <c r="Z226" s="125">
        <f>WEEKNUM(A226)-WEEKNUM(DATE(YEAR(A226),MONTH(A226),1))+1</f>
        <v>3</v>
      </c>
      <c r="AA226" s="126">
        <f>IF(V226="",0,V226/8)</f>
        <v>0.78993055555555558</v>
      </c>
      <c r="AB226" s="125">
        <f>IF(E226="02PZ03405",0,1)</f>
        <v>1</v>
      </c>
    </row>
    <row r="227" spans="1:28" x14ac:dyDescent="0.2">
      <c r="A227" s="37">
        <v>44756</v>
      </c>
      <c r="B227" s="31" t="s">
        <v>87</v>
      </c>
      <c r="C227" s="31" t="s">
        <v>92</v>
      </c>
      <c r="D227" s="38">
        <v>5</v>
      </c>
      <c r="E227" s="39" t="s">
        <v>44</v>
      </c>
      <c r="F227" s="33" t="str">
        <f>IF(E227="","",VLOOKUP(E227,'Base Datos'!$A$2:$M$150,2,FALSE))</f>
        <v>Mate con Asa PP</v>
      </c>
      <c r="G227" s="99">
        <v>35.700000000000003</v>
      </c>
      <c r="H227" s="102">
        <v>765</v>
      </c>
      <c r="I227" s="32">
        <v>1</v>
      </c>
      <c r="J227" s="32">
        <v>0</v>
      </c>
      <c r="K227" s="31">
        <v>15</v>
      </c>
      <c r="L227" s="39">
        <v>184706</v>
      </c>
      <c r="M227" s="33">
        <f>IF(E227="","",VLOOKUP(E227,'Base Datos'!$A$2:$M$150,3,FALSE))</f>
        <v>48</v>
      </c>
      <c r="N227" s="23">
        <f>IF(E227="","",VLOOKUP(E227,'Base Datos'!$A$2:$M$150,4,FALSE))</f>
        <v>75</v>
      </c>
      <c r="O227" s="23">
        <f>IF(E227="","",VLOOKUP(E227,'Base Datos'!$A$2:$M$150,5,FALSE))</f>
        <v>48</v>
      </c>
      <c r="P227" s="23">
        <f>IF(E227="","",VLOOKUP(E227,'Base Datos'!$A$2:$M$150,6,FALSE))</f>
        <v>600</v>
      </c>
      <c r="Q227" s="23">
        <f>IF(E227="","",VLOOKUP(E227,'Base Datos'!$A$2:$M$150,7,FALSE))</f>
        <v>1</v>
      </c>
      <c r="R227" s="40">
        <f>IF(E227="","",VLOOKUP(E227,'Base Datos'!$A$2:$M$150,8,FALSE))</f>
        <v>105</v>
      </c>
      <c r="S227" s="40" t="str">
        <f>IF(E227="","",VLOOKUP(E227,'Base Datos'!$A$2:$M$150,9,FALSE))</f>
        <v>PP</v>
      </c>
      <c r="T227" s="33">
        <f>IF(E227="","",(H227*I227)-(J227+K227))</f>
        <v>750</v>
      </c>
      <c r="U227" s="33">
        <f>IF(E227="","",(I227*R227)/1000)</f>
        <v>0.105</v>
      </c>
      <c r="V227" s="123">
        <f>IF(G227="",0,(G227*H227)/3600)</f>
        <v>7.5862500000000006</v>
      </c>
      <c r="W227" s="45">
        <f>IFERROR(IF(E227="","",(H227/P227)),0)</f>
        <v>1.2749999999999999</v>
      </c>
      <c r="X227" s="94">
        <f>WEEKDAY(A227,1)</f>
        <v>5</v>
      </c>
      <c r="Y227" s="120">
        <f>MONTH(A227)</f>
        <v>7</v>
      </c>
      <c r="Z227" s="125">
        <f>WEEKNUM(A227)-WEEKNUM(DATE(YEAR(A227),MONTH(A227),1))+1</f>
        <v>3</v>
      </c>
      <c r="AA227" s="126">
        <f>IF(V227="",0,V227/8)</f>
        <v>0.94828125000000008</v>
      </c>
      <c r="AB227" s="125">
        <f>IF(E227="02PZ03405",0,1)</f>
        <v>1</v>
      </c>
    </row>
    <row r="228" spans="1:28" x14ac:dyDescent="0.2">
      <c r="A228" s="37">
        <v>44755</v>
      </c>
      <c r="B228" s="31" t="s">
        <v>87</v>
      </c>
      <c r="C228" s="31" t="s">
        <v>92</v>
      </c>
      <c r="D228" s="38">
        <v>5</v>
      </c>
      <c r="E228" s="39" t="s">
        <v>44</v>
      </c>
      <c r="F228" s="33" t="str">
        <f>IF(E228="","",VLOOKUP(E228,'Base Datos'!$A$2:$M$150,2,FALSE))</f>
        <v>Mate con Asa PP</v>
      </c>
      <c r="G228" s="32">
        <v>42</v>
      </c>
      <c r="H228" s="102">
        <v>782</v>
      </c>
      <c r="I228" s="32">
        <v>1</v>
      </c>
      <c r="J228" s="32">
        <v>0</v>
      </c>
      <c r="K228" s="31">
        <v>30</v>
      </c>
      <c r="L228" s="39">
        <v>184706</v>
      </c>
      <c r="M228" s="33">
        <f>IF(E228="","",VLOOKUP(E228,'Base Datos'!$A$2:$M$150,3,FALSE))</f>
        <v>48</v>
      </c>
      <c r="N228" s="23">
        <f>IF(E228="","",VLOOKUP(E228,'Base Datos'!$A$2:$M$150,4,FALSE))</f>
        <v>75</v>
      </c>
      <c r="O228" s="23">
        <f>IF(E228="","",VLOOKUP(E228,'Base Datos'!$A$2:$M$150,5,FALSE))</f>
        <v>48</v>
      </c>
      <c r="P228" s="23">
        <f>IF(E228="","",VLOOKUP(E228,'Base Datos'!$A$2:$M$150,6,FALSE))</f>
        <v>600</v>
      </c>
      <c r="Q228" s="23">
        <f>IF(E228="","",VLOOKUP(E228,'Base Datos'!$A$2:$M$150,7,FALSE))</f>
        <v>1</v>
      </c>
      <c r="R228" s="40">
        <f>IF(E228="","",VLOOKUP(E228,'Base Datos'!$A$2:$M$150,8,FALSE))</f>
        <v>105</v>
      </c>
      <c r="S228" s="40" t="str">
        <f>IF(E228="","",VLOOKUP(E228,'Base Datos'!$A$2:$M$150,9,FALSE))</f>
        <v>PP</v>
      </c>
      <c r="T228" s="33">
        <f>IF(E228="","",(H228*I228)-(J228+K228))</f>
        <v>752</v>
      </c>
      <c r="U228" s="33">
        <f>IF(E228="","",(I228*R228)/1000)</f>
        <v>0.105</v>
      </c>
      <c r="V228" s="123">
        <f>IF(G228="",0,(G228*H228)/3600)</f>
        <v>9.1233333333333331</v>
      </c>
      <c r="W228" s="45">
        <f>IFERROR(IF(E228="","",(H228/P228)),0)</f>
        <v>1.3033333333333332</v>
      </c>
      <c r="X228" s="94">
        <f>WEEKDAY(A228,1)</f>
        <v>4</v>
      </c>
      <c r="Y228" s="120">
        <f>MONTH(A228)</f>
        <v>7</v>
      </c>
      <c r="Z228" s="125">
        <f>WEEKNUM(A228)-WEEKNUM(DATE(YEAR(A228),MONTH(A228),1))+1</f>
        <v>3</v>
      </c>
      <c r="AA228" s="126">
        <f>IF(V228="",0,V228/8)</f>
        <v>1.1404166666666666</v>
      </c>
      <c r="AB228" s="125">
        <f>IF(E228="02PZ03405",0,1)</f>
        <v>1</v>
      </c>
    </row>
    <row r="229" spans="1:28" x14ac:dyDescent="0.2">
      <c r="A229" s="37">
        <v>44754</v>
      </c>
      <c r="B229" s="119" t="s">
        <v>87</v>
      </c>
      <c r="C229" s="31" t="s">
        <v>92</v>
      </c>
      <c r="D229" s="118">
        <v>5</v>
      </c>
      <c r="E229" s="39" t="s">
        <v>44</v>
      </c>
      <c r="F229" s="33" t="str">
        <f>IF(E229="","",VLOOKUP(E229,'Base Datos'!$A$2:$M$150,2,FALSE))</f>
        <v>Mate con Asa PP</v>
      </c>
      <c r="G229" s="32">
        <v>40.700000000000003</v>
      </c>
      <c r="H229" s="102">
        <v>550</v>
      </c>
      <c r="I229" s="32">
        <v>1</v>
      </c>
      <c r="J229" s="32">
        <v>0</v>
      </c>
      <c r="K229" s="31">
        <v>10</v>
      </c>
      <c r="L229" s="39">
        <v>184706</v>
      </c>
      <c r="M229" s="33">
        <f>IF(E229="","",VLOOKUP(E229,'Base Datos'!$A$2:$M$150,3,FALSE))</f>
        <v>48</v>
      </c>
      <c r="N229" s="23">
        <f>IF(E229="","",VLOOKUP(E229,'Base Datos'!$A$2:$M$150,4,FALSE))</f>
        <v>75</v>
      </c>
      <c r="O229" s="23">
        <f>IF(E229="","",VLOOKUP(E229,'Base Datos'!$A$2:$M$150,5,FALSE))</f>
        <v>48</v>
      </c>
      <c r="P229" s="23">
        <f>IF(E229="","",VLOOKUP(E229,'Base Datos'!$A$2:$M$150,6,FALSE))</f>
        <v>600</v>
      </c>
      <c r="Q229" s="23">
        <f>IF(E229="","",VLOOKUP(E229,'Base Datos'!$A$2:$M$150,7,FALSE))</f>
        <v>1</v>
      </c>
      <c r="R229" s="40">
        <f>IF(E229="","",VLOOKUP(E229,'Base Datos'!$A$2:$M$150,8,FALSE))</f>
        <v>105</v>
      </c>
      <c r="S229" s="40" t="str">
        <f>IF(E229="","",VLOOKUP(E229,'Base Datos'!$A$2:$M$150,9,FALSE))</f>
        <v>PP</v>
      </c>
      <c r="T229" s="33">
        <f>IF(E229="","",(H229*I229)-(J229+K229))</f>
        <v>540</v>
      </c>
      <c r="U229" s="33">
        <f>IF(E229="","",(I229*R229)/1000)</f>
        <v>0.105</v>
      </c>
      <c r="V229" s="123">
        <f>IF(G229="",0,(G229*H229)/3600)</f>
        <v>6.2180555555555559</v>
      </c>
      <c r="W229" s="45">
        <f>IFERROR(IF(E229="","",(H229/P229)),0)</f>
        <v>0.91666666666666663</v>
      </c>
      <c r="X229" s="94">
        <f>WEEKDAY(A229,1)</f>
        <v>3</v>
      </c>
      <c r="Y229" s="120">
        <f>MONTH(A229)</f>
        <v>7</v>
      </c>
      <c r="Z229" s="125">
        <f>WEEKNUM(A229)-WEEKNUM(DATE(YEAR(A229),MONTH(A229),1))+1</f>
        <v>3</v>
      </c>
      <c r="AA229" s="126">
        <f>IF(V229="",0,V229/8)</f>
        <v>0.77725694444444449</v>
      </c>
      <c r="AB229" s="125">
        <f>IF(E229="02PZ03405",0,1)</f>
        <v>1</v>
      </c>
    </row>
    <row r="230" spans="1:28" x14ac:dyDescent="0.2">
      <c r="A230" s="37">
        <v>44777</v>
      </c>
      <c r="B230" s="31" t="s">
        <v>34</v>
      </c>
      <c r="C230" s="31" t="s">
        <v>35</v>
      </c>
      <c r="D230" s="38">
        <v>5</v>
      </c>
      <c r="E230" s="39" t="s">
        <v>44</v>
      </c>
      <c r="F230" s="33" t="str">
        <f>IF(E230="","",VLOOKUP(E230,'Base Datos'!$A$2:$M$150,2,FALSE))</f>
        <v>Mate con Asa PP</v>
      </c>
      <c r="G230" s="99">
        <v>48</v>
      </c>
      <c r="H230" s="102">
        <v>650</v>
      </c>
      <c r="I230" s="32">
        <v>1</v>
      </c>
      <c r="J230" s="32">
        <v>5</v>
      </c>
      <c r="K230" s="31">
        <v>10</v>
      </c>
      <c r="L230" s="39">
        <v>184975</v>
      </c>
      <c r="M230" s="33">
        <f>IF(E230="","",VLOOKUP(E230,'Base Datos'!$A$2:$M$150,3,FALSE))</f>
        <v>48</v>
      </c>
      <c r="N230" s="23">
        <f>IF(E230="","",VLOOKUP(E230,'Base Datos'!$A$2:$M$150,4,FALSE))</f>
        <v>75</v>
      </c>
      <c r="O230" s="23">
        <f>IF(E230="","",VLOOKUP(E230,'Base Datos'!$A$2:$M$150,5,FALSE))</f>
        <v>48</v>
      </c>
      <c r="P230" s="23">
        <f>IF(E230="","",VLOOKUP(E230,'Base Datos'!$A$2:$M$150,6,FALSE))</f>
        <v>600</v>
      </c>
      <c r="Q230" s="23">
        <f>IF(E230="","",VLOOKUP(E230,'Base Datos'!$A$2:$M$150,7,FALSE))</f>
        <v>1</v>
      </c>
      <c r="R230" s="40">
        <f>IF(E230="","",VLOOKUP(E230,'Base Datos'!$A$2:$M$150,8,FALSE))</f>
        <v>105</v>
      </c>
      <c r="S230" s="40" t="str">
        <f>IF(E230="","",VLOOKUP(E230,'Base Datos'!$A$2:$M$150,9,FALSE))</f>
        <v>PP</v>
      </c>
      <c r="T230" s="33">
        <f>IF(E230="","",(H230*I230)-(J230+K230))</f>
        <v>635</v>
      </c>
      <c r="U230" s="33">
        <f>IF(E230="","",(I230*R230)/1000)</f>
        <v>0.105</v>
      </c>
      <c r="V230" s="123">
        <f>IF(G230="",0,(G230*H230)/3600)</f>
        <v>8.6666666666666661</v>
      </c>
      <c r="W230" s="45">
        <f>IFERROR(IF(E230="","",(H230/P230)),0)</f>
        <v>1.0833333333333333</v>
      </c>
      <c r="X230" s="23">
        <f>WEEKDAY(A230,1)</f>
        <v>5</v>
      </c>
      <c r="Y230" s="120">
        <f>MONTH(A230)</f>
        <v>8</v>
      </c>
      <c r="Z230" s="125">
        <f>WEEKNUM(A230)-WEEKNUM(DATE(YEAR(A230),MONTH(A230),1))+1</f>
        <v>1</v>
      </c>
      <c r="AA230" s="126">
        <f>IF(V230="",0,V230/8)</f>
        <v>1.0833333333333333</v>
      </c>
      <c r="AB230" s="125">
        <f>IF(E230="02PZ03405",0,1)</f>
        <v>1</v>
      </c>
    </row>
    <row r="231" spans="1:28" x14ac:dyDescent="0.2">
      <c r="A231" s="37">
        <v>44767</v>
      </c>
      <c r="B231" s="31" t="s">
        <v>34</v>
      </c>
      <c r="C231" s="31" t="s">
        <v>35</v>
      </c>
      <c r="D231" s="38">
        <v>5</v>
      </c>
      <c r="E231" s="39" t="s">
        <v>44</v>
      </c>
      <c r="F231" s="33" t="str">
        <f>IF(E231="","",VLOOKUP(E231,'Base Datos'!$A$2:$M$150,2,FALSE))</f>
        <v>Mate con Asa PP</v>
      </c>
      <c r="G231" s="99">
        <v>46</v>
      </c>
      <c r="H231" s="102">
        <v>420</v>
      </c>
      <c r="I231" s="32">
        <v>1</v>
      </c>
      <c r="J231" s="32"/>
      <c r="K231" s="31"/>
      <c r="L231" s="39">
        <v>184975</v>
      </c>
      <c r="M231" s="33">
        <f>IF(E231="","",VLOOKUP(E231,'Base Datos'!$A$2:$M$150,3,FALSE))</f>
        <v>48</v>
      </c>
      <c r="N231" s="23">
        <f>IF(E231="","",VLOOKUP(E231,'Base Datos'!$A$2:$M$150,4,FALSE))</f>
        <v>75</v>
      </c>
      <c r="O231" s="23">
        <f>IF(E231="","",VLOOKUP(E231,'Base Datos'!$A$2:$M$150,5,FALSE))</f>
        <v>48</v>
      </c>
      <c r="P231" s="23">
        <f>IF(E231="","",VLOOKUP(E231,'Base Datos'!$A$2:$M$150,6,FALSE))</f>
        <v>600</v>
      </c>
      <c r="Q231" s="23">
        <f>IF(E231="","",VLOOKUP(E231,'Base Datos'!$A$2:$M$150,7,FALSE))</f>
        <v>1</v>
      </c>
      <c r="R231" s="40">
        <f>IF(E231="","",VLOOKUP(E231,'Base Datos'!$A$2:$M$150,8,FALSE))</f>
        <v>105</v>
      </c>
      <c r="S231" s="40" t="str">
        <f>IF(E231="","",VLOOKUP(E231,'Base Datos'!$A$2:$M$150,9,FALSE))</f>
        <v>PP</v>
      </c>
      <c r="T231" s="33">
        <f>IF(E231="","",(H231*I231)-(J231+K231))</f>
        <v>420</v>
      </c>
      <c r="U231" s="33">
        <f>IF(E231="","",(I231*R231)/1000)</f>
        <v>0.105</v>
      </c>
      <c r="V231" s="123">
        <f>IF(G231="",0,(G231*H231)/3600)</f>
        <v>5.3666666666666663</v>
      </c>
      <c r="W231" s="45">
        <f>IFERROR(IF(E231="","",(H231/P231)),0)</f>
        <v>0.7</v>
      </c>
      <c r="X231" s="94">
        <f>WEEKDAY(A231,1)</f>
        <v>2</v>
      </c>
      <c r="Y231" s="120">
        <f>MONTH(A231)</f>
        <v>7</v>
      </c>
      <c r="Z231" s="125">
        <f>WEEKNUM(A231)-WEEKNUM(DATE(YEAR(A231),MONTH(A231),1))+1</f>
        <v>5</v>
      </c>
      <c r="AA231" s="126">
        <f>IF(V231="",0,V231/8)</f>
        <v>0.67083333333333328</v>
      </c>
      <c r="AB231" s="125">
        <f>IF(E231="02PZ03405",0,1)</f>
        <v>1</v>
      </c>
    </row>
    <row r="232" spans="1:28" x14ac:dyDescent="0.2">
      <c r="A232" s="37">
        <v>44764</v>
      </c>
      <c r="B232" s="31" t="s">
        <v>34</v>
      </c>
      <c r="C232" s="31" t="s">
        <v>35</v>
      </c>
      <c r="D232" s="38">
        <v>5</v>
      </c>
      <c r="E232" s="39" t="s">
        <v>44</v>
      </c>
      <c r="F232" s="33" t="str">
        <f>IF(E232="","",VLOOKUP(E232,'Base Datos'!$A$2:$M$150,2,FALSE))</f>
        <v>Mate con Asa PP</v>
      </c>
      <c r="G232" s="99">
        <v>40.299999999999997</v>
      </c>
      <c r="H232" s="102">
        <v>630</v>
      </c>
      <c r="I232" s="32">
        <v>1</v>
      </c>
      <c r="J232" s="32"/>
      <c r="K232" s="31"/>
      <c r="L232" s="39">
        <v>184706</v>
      </c>
      <c r="M232" s="33">
        <f>IF(E232="","",VLOOKUP(E232,'Base Datos'!$A$2:$M$150,3,FALSE))</f>
        <v>48</v>
      </c>
      <c r="N232" s="23">
        <f>IF(E232="","",VLOOKUP(E232,'Base Datos'!$A$2:$M$150,4,FALSE))</f>
        <v>75</v>
      </c>
      <c r="O232" s="23">
        <f>IF(E232="","",VLOOKUP(E232,'Base Datos'!$A$2:$M$150,5,FALSE))</f>
        <v>48</v>
      </c>
      <c r="P232" s="23">
        <f>IF(E232="","",VLOOKUP(E232,'Base Datos'!$A$2:$M$150,6,FALSE))</f>
        <v>600</v>
      </c>
      <c r="Q232" s="23">
        <f>IF(E232="","",VLOOKUP(E232,'Base Datos'!$A$2:$M$150,7,FALSE))</f>
        <v>1</v>
      </c>
      <c r="R232" s="40">
        <f>IF(E232="","",VLOOKUP(E232,'Base Datos'!$A$2:$M$150,8,FALSE))</f>
        <v>105</v>
      </c>
      <c r="S232" s="40" t="str">
        <f>IF(E232="","",VLOOKUP(E232,'Base Datos'!$A$2:$M$150,9,FALSE))</f>
        <v>PP</v>
      </c>
      <c r="T232" s="33">
        <f>IF(E232="","",(H232*I232)-(J232+K232))</f>
        <v>630</v>
      </c>
      <c r="U232" s="33">
        <f>IF(E232="","",(I232*R232)/1000)</f>
        <v>0.105</v>
      </c>
      <c r="V232" s="123">
        <f>IF(G232="",0,(G232*H232)/3600)</f>
        <v>7.0525000000000002</v>
      </c>
      <c r="W232" s="45">
        <f>IFERROR(IF(E232="","",(H232/P232)),0)</f>
        <v>1.05</v>
      </c>
      <c r="X232" s="94">
        <f>WEEKDAY(A232,1)</f>
        <v>6</v>
      </c>
      <c r="Y232" s="120">
        <f>MONTH(A232)</f>
        <v>7</v>
      </c>
      <c r="Z232" s="125">
        <f>WEEKNUM(A232)-WEEKNUM(DATE(YEAR(A232),MONTH(A232),1))+1</f>
        <v>4</v>
      </c>
      <c r="AA232" s="126">
        <f>IF(V232="",0,V232/8)</f>
        <v>0.88156250000000003</v>
      </c>
      <c r="AB232" s="125">
        <f>IF(E232="02PZ03405",0,1)</f>
        <v>1</v>
      </c>
    </row>
    <row r="233" spans="1:28" x14ac:dyDescent="0.2">
      <c r="A233" s="37">
        <v>44776</v>
      </c>
      <c r="B233" s="31" t="s">
        <v>86</v>
      </c>
      <c r="C233" s="31" t="s">
        <v>91</v>
      </c>
      <c r="D233" s="38">
        <v>5</v>
      </c>
      <c r="E233" s="39" t="s">
        <v>44</v>
      </c>
      <c r="F233" s="33" t="str">
        <f>IF(E233="","",VLOOKUP(E233,'Base Datos'!$A$2:$M$150,2,FALSE))</f>
        <v>Mate con Asa PP</v>
      </c>
      <c r="G233" s="99">
        <v>35.9</v>
      </c>
      <c r="H233" s="102">
        <v>457</v>
      </c>
      <c r="I233" s="32">
        <v>1</v>
      </c>
      <c r="J233" s="32">
        <v>23</v>
      </c>
      <c r="K233" s="31">
        <v>0</v>
      </c>
      <c r="L233" s="39">
        <v>184975</v>
      </c>
      <c r="M233" s="33">
        <f>IF(E233="","",VLOOKUP(E233,'Base Datos'!$A$2:$M$150,3,FALSE))</f>
        <v>48</v>
      </c>
      <c r="N233" s="23">
        <f>IF(E233="","",VLOOKUP(E233,'Base Datos'!$A$2:$M$150,4,FALSE))</f>
        <v>75</v>
      </c>
      <c r="O233" s="23">
        <f>IF(E233="","",VLOOKUP(E233,'Base Datos'!$A$2:$M$150,5,FALSE))</f>
        <v>48</v>
      </c>
      <c r="P233" s="23">
        <f>IF(E233="","",VLOOKUP(E233,'Base Datos'!$A$2:$M$150,6,FALSE))</f>
        <v>600</v>
      </c>
      <c r="Q233" s="23">
        <f>IF(E233="","",VLOOKUP(E233,'Base Datos'!$A$2:$M$150,7,FALSE))</f>
        <v>1</v>
      </c>
      <c r="R233" s="40">
        <f>IF(E233="","",VLOOKUP(E233,'Base Datos'!$A$2:$M$150,8,FALSE))</f>
        <v>105</v>
      </c>
      <c r="S233" s="40" t="str">
        <f>IF(E233="","",VLOOKUP(E233,'Base Datos'!$A$2:$M$150,9,FALSE))</f>
        <v>PP</v>
      </c>
      <c r="T233" s="33">
        <f>IF(E233="","",(H233*I233)-(J233+K233))</f>
        <v>434</v>
      </c>
      <c r="U233" s="33">
        <f>IF(E233="","",(I233*R233)/1000)</f>
        <v>0.105</v>
      </c>
      <c r="V233" s="123">
        <f>IF(G233="",0,(G233*H233)/3600)</f>
        <v>4.5573055555555557</v>
      </c>
      <c r="W233" s="45">
        <f>IFERROR(IF(E233="","",(H233/P233)),0)</f>
        <v>0.76166666666666671</v>
      </c>
      <c r="X233" s="23">
        <f>WEEKDAY(A233,1)</f>
        <v>4</v>
      </c>
      <c r="Y233" s="120">
        <f>MONTH(A233)</f>
        <v>8</v>
      </c>
      <c r="Z233" s="125">
        <f>WEEKNUM(A233)-WEEKNUM(DATE(YEAR(A233),MONTH(A233),1))+1</f>
        <v>1</v>
      </c>
      <c r="AA233" s="126">
        <f>IF(V233="",0,V233/8)</f>
        <v>0.56966319444444447</v>
      </c>
      <c r="AB233" s="125">
        <f>IF(E233="02PZ03405",0,1)</f>
        <v>1</v>
      </c>
    </row>
    <row r="234" spans="1:28" x14ac:dyDescent="0.2">
      <c r="A234" s="37">
        <v>44761</v>
      </c>
      <c r="B234" s="31" t="s">
        <v>86</v>
      </c>
      <c r="C234" s="31" t="s">
        <v>91</v>
      </c>
      <c r="D234" s="38">
        <v>5</v>
      </c>
      <c r="E234" s="39" t="s">
        <v>44</v>
      </c>
      <c r="F234" s="33" t="str">
        <f>IF(E234="","",VLOOKUP(E234,'Base Datos'!$A$2:$M$150,2,FALSE))</f>
        <v>Mate con Asa PP</v>
      </c>
      <c r="G234" s="99">
        <v>39</v>
      </c>
      <c r="H234" s="102">
        <v>695</v>
      </c>
      <c r="I234" s="32">
        <v>1</v>
      </c>
      <c r="J234" s="32">
        <v>25</v>
      </c>
      <c r="K234" s="31">
        <v>0</v>
      </c>
      <c r="L234" s="39">
        <v>184706</v>
      </c>
      <c r="M234" s="33">
        <f>IF(E234="","",VLOOKUP(E234,'Base Datos'!$A$2:$M$150,3,FALSE))</f>
        <v>48</v>
      </c>
      <c r="N234" s="23">
        <f>IF(E234="","",VLOOKUP(E234,'Base Datos'!$A$2:$M$150,4,FALSE))</f>
        <v>75</v>
      </c>
      <c r="O234" s="23">
        <f>IF(E234="","",VLOOKUP(E234,'Base Datos'!$A$2:$M$150,5,FALSE))</f>
        <v>48</v>
      </c>
      <c r="P234" s="23">
        <f>IF(E234="","",VLOOKUP(E234,'Base Datos'!$A$2:$M$150,6,FALSE))</f>
        <v>600</v>
      </c>
      <c r="Q234" s="23">
        <f>IF(E234="","",VLOOKUP(E234,'Base Datos'!$A$2:$M$150,7,FALSE))</f>
        <v>1</v>
      </c>
      <c r="R234" s="40">
        <f>IF(E234="","",VLOOKUP(E234,'Base Datos'!$A$2:$M$150,8,FALSE))</f>
        <v>105</v>
      </c>
      <c r="S234" s="40" t="str">
        <f>IF(E234="","",VLOOKUP(E234,'Base Datos'!$A$2:$M$150,9,FALSE))</f>
        <v>PP</v>
      </c>
      <c r="T234" s="33">
        <f>IF(E234="","",(H234*I234)-(J234+K234))</f>
        <v>670</v>
      </c>
      <c r="U234" s="33">
        <f>IF(E234="","",(I234*R234)/1000)</f>
        <v>0.105</v>
      </c>
      <c r="V234" s="123">
        <f>IF(G234="",0,(G234*H234)/3600)</f>
        <v>7.5291666666666668</v>
      </c>
      <c r="W234" s="45">
        <f>IFERROR(IF(E234="","",(H234/P234)),0)</f>
        <v>1.1583333333333334</v>
      </c>
      <c r="X234" s="94">
        <f>WEEKDAY(A234,1)</f>
        <v>3</v>
      </c>
      <c r="Y234" s="120">
        <f>MONTH(A234)</f>
        <v>7</v>
      </c>
      <c r="Z234" s="125">
        <f>WEEKNUM(A234)-WEEKNUM(DATE(YEAR(A234),MONTH(A234),1))+1</f>
        <v>4</v>
      </c>
      <c r="AA234" s="126">
        <f>IF(V234="",0,V234/8)</f>
        <v>0.94114583333333335</v>
      </c>
      <c r="AB234" s="125">
        <f>IF(E234="02PZ03405",0,1)</f>
        <v>1</v>
      </c>
    </row>
    <row r="235" spans="1:28" x14ac:dyDescent="0.2">
      <c r="A235" s="37">
        <v>44760</v>
      </c>
      <c r="B235" s="31" t="s">
        <v>34</v>
      </c>
      <c r="C235" s="31" t="s">
        <v>91</v>
      </c>
      <c r="D235" s="38">
        <v>5</v>
      </c>
      <c r="E235" s="39" t="s">
        <v>44</v>
      </c>
      <c r="F235" s="33" t="str">
        <f>IF(E235="","",VLOOKUP(E235,'Base Datos'!$A$2:$M$150,2,FALSE))</f>
        <v>Mate con Asa PP</v>
      </c>
      <c r="G235" s="99">
        <v>38</v>
      </c>
      <c r="H235" s="102">
        <v>696</v>
      </c>
      <c r="I235" s="32">
        <v>1</v>
      </c>
      <c r="J235" s="32">
        <v>40</v>
      </c>
      <c r="K235" s="31">
        <v>0</v>
      </c>
      <c r="L235" s="39">
        <v>184706</v>
      </c>
      <c r="M235" s="33">
        <f>IF(E235="","",VLOOKUP(E235,'Base Datos'!$A$2:$M$150,3,FALSE))</f>
        <v>48</v>
      </c>
      <c r="N235" s="23">
        <f>IF(E235="","",VLOOKUP(E235,'Base Datos'!$A$2:$M$150,4,FALSE))</f>
        <v>75</v>
      </c>
      <c r="O235" s="23">
        <f>IF(E235="","",VLOOKUP(E235,'Base Datos'!$A$2:$M$150,5,FALSE))</f>
        <v>48</v>
      </c>
      <c r="P235" s="23">
        <f>IF(E235="","",VLOOKUP(E235,'Base Datos'!$A$2:$M$150,6,FALSE))</f>
        <v>600</v>
      </c>
      <c r="Q235" s="23">
        <f>IF(E235="","",VLOOKUP(E235,'Base Datos'!$A$2:$M$150,7,FALSE))</f>
        <v>1</v>
      </c>
      <c r="R235" s="40">
        <f>IF(E235="","",VLOOKUP(E235,'Base Datos'!$A$2:$M$150,8,FALSE))</f>
        <v>105</v>
      </c>
      <c r="S235" s="40" t="str">
        <f>IF(E235="","",VLOOKUP(E235,'Base Datos'!$A$2:$M$150,9,FALSE))</f>
        <v>PP</v>
      </c>
      <c r="T235" s="33">
        <f>IF(E235="","",(H235*I235)-(J235+K235))</f>
        <v>656</v>
      </c>
      <c r="U235" s="33">
        <f>IF(E235="","",(I235*R235)/1000)</f>
        <v>0.105</v>
      </c>
      <c r="V235" s="123">
        <f>IF(G235="",0,(G235*H235)/3600)</f>
        <v>7.3466666666666667</v>
      </c>
      <c r="W235" s="45">
        <f>IFERROR(IF(E235="","",(H235/P235)),0)</f>
        <v>1.1599999999999999</v>
      </c>
      <c r="X235" s="94">
        <f>WEEKDAY(A235,1)</f>
        <v>2</v>
      </c>
      <c r="Y235" s="120">
        <f>MONTH(A235)</f>
        <v>7</v>
      </c>
      <c r="Z235" s="125">
        <f>WEEKNUM(A235)-WEEKNUM(DATE(YEAR(A235),MONTH(A235),1))+1</f>
        <v>4</v>
      </c>
      <c r="AA235" s="126">
        <f>IF(V235="",0,V235/8)</f>
        <v>0.91833333333333333</v>
      </c>
      <c r="AB235" s="125">
        <f>IF(E235="02PZ03405",0,1)</f>
        <v>1</v>
      </c>
    </row>
    <row r="236" spans="1:28" x14ac:dyDescent="0.2">
      <c r="A236" s="37">
        <v>44755</v>
      </c>
      <c r="B236" s="31" t="s">
        <v>86</v>
      </c>
      <c r="C236" s="31" t="s">
        <v>91</v>
      </c>
      <c r="D236" s="38">
        <v>5</v>
      </c>
      <c r="E236" s="39" t="s">
        <v>44</v>
      </c>
      <c r="F236" s="33" t="str">
        <f>IF(E236="","",VLOOKUP(E236,'Base Datos'!$A$2:$M$150,2,FALSE))</f>
        <v>Mate con Asa PP</v>
      </c>
      <c r="G236" s="32">
        <v>49</v>
      </c>
      <c r="H236" s="102">
        <v>400</v>
      </c>
      <c r="I236" s="32">
        <v>1</v>
      </c>
      <c r="J236" s="32">
        <v>20</v>
      </c>
      <c r="K236" s="31">
        <v>5</v>
      </c>
      <c r="L236" s="39">
        <v>184706</v>
      </c>
      <c r="M236" s="33">
        <f>IF(E236="","",VLOOKUP(E236,'Base Datos'!$A$2:$M$150,3,FALSE))</f>
        <v>48</v>
      </c>
      <c r="N236" s="23">
        <f>IF(E236="","",VLOOKUP(E236,'Base Datos'!$A$2:$M$150,4,FALSE))</f>
        <v>75</v>
      </c>
      <c r="O236" s="23">
        <f>IF(E236="","",VLOOKUP(E236,'Base Datos'!$A$2:$M$150,5,FALSE))</f>
        <v>48</v>
      </c>
      <c r="P236" s="23">
        <f>IF(E236="","",VLOOKUP(E236,'Base Datos'!$A$2:$M$150,6,FALSE))</f>
        <v>600</v>
      </c>
      <c r="Q236" s="23">
        <f>IF(E236="","",VLOOKUP(E236,'Base Datos'!$A$2:$M$150,7,FALSE))</f>
        <v>1</v>
      </c>
      <c r="R236" s="40">
        <f>IF(E236="","",VLOOKUP(E236,'Base Datos'!$A$2:$M$150,8,FALSE))</f>
        <v>105</v>
      </c>
      <c r="S236" s="40" t="str">
        <f>IF(E236="","",VLOOKUP(E236,'Base Datos'!$A$2:$M$150,9,FALSE))</f>
        <v>PP</v>
      </c>
      <c r="T236" s="33">
        <f>IF(E236="","",(H236*I236)-(J236+K236))</f>
        <v>375</v>
      </c>
      <c r="U236" s="33">
        <f>IF(E236="","",(I236*R236)/1000)</f>
        <v>0.105</v>
      </c>
      <c r="V236" s="123">
        <f>IF(G236="",0,(G236*H236)/3600)</f>
        <v>5.4444444444444446</v>
      </c>
      <c r="W236" s="45">
        <f>IFERROR(IF(E236="","",(H236/P236)),0)</f>
        <v>0.66666666666666663</v>
      </c>
      <c r="X236" s="94">
        <f>WEEKDAY(A236,1)</f>
        <v>4</v>
      </c>
      <c r="Y236" s="120">
        <f>MONTH(A236)</f>
        <v>7</v>
      </c>
      <c r="Z236" s="125">
        <f>WEEKNUM(A236)-WEEKNUM(DATE(YEAR(A236),MONTH(A236),1))+1</f>
        <v>3</v>
      </c>
      <c r="AA236" s="126">
        <f>IF(V236="",0,V236/8)</f>
        <v>0.68055555555555558</v>
      </c>
      <c r="AB236" s="125">
        <f>IF(E236="02PZ03405",0,1)</f>
        <v>1</v>
      </c>
    </row>
    <row r="237" spans="1:28" x14ac:dyDescent="0.2">
      <c r="A237" s="37">
        <v>44777</v>
      </c>
      <c r="B237" s="31" t="s">
        <v>86</v>
      </c>
      <c r="C237" s="31" t="s">
        <v>90</v>
      </c>
      <c r="D237" s="38">
        <v>5</v>
      </c>
      <c r="E237" s="39" t="s">
        <v>44</v>
      </c>
      <c r="F237" s="33" t="str">
        <f>IF(E237="","",VLOOKUP(E237,'Base Datos'!$A$2:$M$150,2,FALSE))</f>
        <v>Mate con Asa PP</v>
      </c>
      <c r="G237" s="99">
        <v>43.5</v>
      </c>
      <c r="H237" s="102">
        <v>198</v>
      </c>
      <c r="I237" s="32">
        <v>1</v>
      </c>
      <c r="J237" s="32">
        <v>3</v>
      </c>
      <c r="K237" s="31">
        <v>0</v>
      </c>
      <c r="L237" s="39">
        <v>184975</v>
      </c>
      <c r="M237" s="33">
        <f>IF(E237="","",VLOOKUP(E237,'Base Datos'!$A$2:$M$150,3,FALSE))</f>
        <v>48</v>
      </c>
      <c r="N237" s="23">
        <f>IF(E237="","",VLOOKUP(E237,'Base Datos'!$A$2:$M$150,4,FALSE))</f>
        <v>75</v>
      </c>
      <c r="O237" s="23">
        <f>IF(E237="","",VLOOKUP(E237,'Base Datos'!$A$2:$M$150,5,FALSE))</f>
        <v>48</v>
      </c>
      <c r="P237" s="23">
        <f>IF(E237="","",VLOOKUP(E237,'Base Datos'!$A$2:$M$150,6,FALSE))</f>
        <v>600</v>
      </c>
      <c r="Q237" s="23">
        <f>IF(E237="","",VLOOKUP(E237,'Base Datos'!$A$2:$M$150,7,FALSE))</f>
        <v>1</v>
      </c>
      <c r="R237" s="40">
        <f>IF(E237="","",VLOOKUP(E237,'Base Datos'!$A$2:$M$150,8,FALSE))</f>
        <v>105</v>
      </c>
      <c r="S237" s="40" t="str">
        <f>IF(E237="","",VLOOKUP(E237,'Base Datos'!$A$2:$M$150,9,FALSE))</f>
        <v>PP</v>
      </c>
      <c r="T237" s="33">
        <f>IF(E237="","",(H237*I237)-(J237+K237))</f>
        <v>195</v>
      </c>
      <c r="U237" s="33">
        <f>IF(E237="","",(I237*R237)/1000)</f>
        <v>0.105</v>
      </c>
      <c r="V237" s="123">
        <f>IF(G237="",0,(G237*H237)/3600)</f>
        <v>2.3925000000000001</v>
      </c>
      <c r="W237" s="45">
        <f>IFERROR(IF(E237="","",(H237/P237)),0)</f>
        <v>0.33</v>
      </c>
      <c r="X237" s="23">
        <f>WEEKDAY(A237,1)</f>
        <v>5</v>
      </c>
      <c r="Y237" s="120">
        <f>MONTH(A237)</f>
        <v>8</v>
      </c>
      <c r="Z237" s="125">
        <f>WEEKNUM(A237)-WEEKNUM(DATE(YEAR(A237),MONTH(A237),1))+1</f>
        <v>1</v>
      </c>
      <c r="AA237" s="126">
        <f>IF(V237="",0,V237/8)</f>
        <v>0.29906250000000001</v>
      </c>
      <c r="AB237" s="125">
        <f>IF(E237="02PZ03405",0,1)</f>
        <v>1</v>
      </c>
    </row>
    <row r="238" spans="1:28" x14ac:dyDescent="0.2">
      <c r="A238" s="37">
        <v>44763</v>
      </c>
      <c r="B238" s="31" t="s">
        <v>86</v>
      </c>
      <c r="C238" s="31" t="s">
        <v>90</v>
      </c>
      <c r="D238" s="38">
        <v>5</v>
      </c>
      <c r="E238" s="39" t="s">
        <v>44</v>
      </c>
      <c r="F238" s="33" t="str">
        <f>IF(E238="","",VLOOKUP(E238,'Base Datos'!$A$2:$M$150,2,FALSE))</f>
        <v>Mate con Asa PP</v>
      </c>
      <c r="G238" s="99">
        <v>46.5</v>
      </c>
      <c r="H238" s="102">
        <v>585</v>
      </c>
      <c r="I238" s="32">
        <v>1</v>
      </c>
      <c r="J238" s="32">
        <v>2</v>
      </c>
      <c r="K238" s="31">
        <v>0</v>
      </c>
      <c r="L238" s="39">
        <v>184706</v>
      </c>
      <c r="M238" s="33">
        <f>IF(E238="","",VLOOKUP(E238,'Base Datos'!$A$2:$M$150,3,FALSE))</f>
        <v>48</v>
      </c>
      <c r="N238" s="23">
        <f>IF(E238="","",VLOOKUP(E238,'Base Datos'!$A$2:$M$150,4,FALSE))</f>
        <v>75</v>
      </c>
      <c r="O238" s="23">
        <f>IF(E238="","",VLOOKUP(E238,'Base Datos'!$A$2:$M$150,5,FALSE))</f>
        <v>48</v>
      </c>
      <c r="P238" s="23">
        <f>IF(E238="","",VLOOKUP(E238,'Base Datos'!$A$2:$M$150,6,FALSE))</f>
        <v>600</v>
      </c>
      <c r="Q238" s="23">
        <f>IF(E238="","",VLOOKUP(E238,'Base Datos'!$A$2:$M$150,7,FALSE))</f>
        <v>1</v>
      </c>
      <c r="R238" s="40">
        <f>IF(E238="","",VLOOKUP(E238,'Base Datos'!$A$2:$M$150,8,FALSE))</f>
        <v>105</v>
      </c>
      <c r="S238" s="40" t="str">
        <f>IF(E238="","",VLOOKUP(E238,'Base Datos'!$A$2:$M$150,9,FALSE))</f>
        <v>PP</v>
      </c>
      <c r="T238" s="33">
        <f>IF(E238="","",(H238*I238)-(J238+K238))</f>
        <v>583</v>
      </c>
      <c r="U238" s="33">
        <f>IF(E238="","",(I238*R238)/1000)</f>
        <v>0.105</v>
      </c>
      <c r="V238" s="123">
        <f>IF(G238="",0,(G238*H238)/3600)</f>
        <v>7.5562500000000004</v>
      </c>
      <c r="W238" s="45">
        <f>IFERROR(IF(E238="","",(H238/P238)),0)</f>
        <v>0.97499999999999998</v>
      </c>
      <c r="X238" s="94">
        <f>WEEKDAY(A238,1)</f>
        <v>5</v>
      </c>
      <c r="Y238" s="120">
        <f>MONTH(A238)</f>
        <v>7</v>
      </c>
      <c r="Z238" s="125">
        <f>WEEKNUM(A238)-WEEKNUM(DATE(YEAR(A238),MONTH(A238),1))+1</f>
        <v>4</v>
      </c>
      <c r="AA238" s="126">
        <f>IF(V238="",0,V238/8)</f>
        <v>0.94453125000000004</v>
      </c>
      <c r="AB238" s="125">
        <f>IF(E238="02PZ03405",0,1)</f>
        <v>1</v>
      </c>
    </row>
    <row r="239" spans="1:28" x14ac:dyDescent="0.2">
      <c r="A239" s="37">
        <v>44756</v>
      </c>
      <c r="B239" s="31" t="s">
        <v>86</v>
      </c>
      <c r="C239" s="31" t="s">
        <v>90</v>
      </c>
      <c r="D239" s="38">
        <v>5</v>
      </c>
      <c r="E239" s="39" t="s">
        <v>44</v>
      </c>
      <c r="F239" s="33" t="str">
        <f>IF(E239="","",VLOOKUP(E239,'Base Datos'!$A$2:$M$150,2,FALSE))</f>
        <v>Mate con Asa PP</v>
      </c>
      <c r="G239" s="99">
        <v>47.7</v>
      </c>
      <c r="H239" s="102">
        <v>667</v>
      </c>
      <c r="I239" s="32">
        <v>1</v>
      </c>
      <c r="J239" s="32">
        <v>3</v>
      </c>
      <c r="K239" s="31">
        <v>0</v>
      </c>
      <c r="L239" s="39">
        <v>1</v>
      </c>
      <c r="M239" s="33">
        <f>IF(E239="","",VLOOKUP(E239,'Base Datos'!$A$2:$M$150,3,FALSE))</f>
        <v>48</v>
      </c>
      <c r="N239" s="23">
        <f>IF(E239="","",VLOOKUP(E239,'Base Datos'!$A$2:$M$150,4,FALSE))</f>
        <v>75</v>
      </c>
      <c r="O239" s="23">
        <f>IF(E239="","",VLOOKUP(E239,'Base Datos'!$A$2:$M$150,5,FALSE))</f>
        <v>48</v>
      </c>
      <c r="P239" s="23">
        <f>IF(E239="","",VLOOKUP(E239,'Base Datos'!$A$2:$M$150,6,FALSE))</f>
        <v>600</v>
      </c>
      <c r="Q239" s="23">
        <f>IF(E239="","",VLOOKUP(E239,'Base Datos'!$A$2:$M$150,7,FALSE))</f>
        <v>1</v>
      </c>
      <c r="R239" s="40">
        <f>IF(E239="","",VLOOKUP(E239,'Base Datos'!$A$2:$M$150,8,FALSE))</f>
        <v>105</v>
      </c>
      <c r="S239" s="40" t="str">
        <f>IF(E239="","",VLOOKUP(E239,'Base Datos'!$A$2:$M$150,9,FALSE))</f>
        <v>PP</v>
      </c>
      <c r="T239" s="33">
        <f>IF(E239="","",(H239*I239)-(J239+K239))</f>
        <v>664</v>
      </c>
      <c r="U239" s="33">
        <f>IF(E239="","",(I239*R239)/1000)</f>
        <v>0.105</v>
      </c>
      <c r="V239" s="123">
        <f>IF(G239="",0,(G239*H239)/3600)</f>
        <v>8.8377499999999998</v>
      </c>
      <c r="W239" s="45">
        <f>IFERROR(IF(E239="","",(H239/P239)),0)</f>
        <v>1.1116666666666666</v>
      </c>
      <c r="X239" s="94">
        <f>WEEKDAY(A239,1)</f>
        <v>5</v>
      </c>
      <c r="Y239" s="120">
        <f>MONTH(A239)</f>
        <v>7</v>
      </c>
      <c r="Z239" s="125">
        <f>WEEKNUM(A239)-WEEKNUM(DATE(YEAR(A239),MONTH(A239),1))+1</f>
        <v>3</v>
      </c>
      <c r="AA239" s="126">
        <f>IF(V239="",0,V239/8)</f>
        <v>1.10471875</v>
      </c>
      <c r="AB239" s="125">
        <f>IF(E239="02PZ03405",0,1)</f>
        <v>1</v>
      </c>
    </row>
    <row r="240" spans="1:28" x14ac:dyDescent="0.2">
      <c r="A240" s="37">
        <v>44763</v>
      </c>
      <c r="B240" s="31" t="s">
        <v>34</v>
      </c>
      <c r="C240" s="31" t="s">
        <v>88</v>
      </c>
      <c r="D240" s="38">
        <v>5</v>
      </c>
      <c r="E240" s="39" t="s">
        <v>44</v>
      </c>
      <c r="F240" s="33" t="str">
        <f>IF(E240="","",VLOOKUP(E240,'Base Datos'!$A$2:$M$150,2,FALSE))</f>
        <v>Mate con Asa PP</v>
      </c>
      <c r="G240" s="99">
        <v>46</v>
      </c>
      <c r="H240" s="102">
        <v>488</v>
      </c>
      <c r="I240" s="32">
        <v>1</v>
      </c>
      <c r="J240" s="32"/>
      <c r="K240" s="31"/>
      <c r="L240" s="39">
        <v>184706</v>
      </c>
      <c r="M240" s="33">
        <f>IF(E240="","",VLOOKUP(E240,'Base Datos'!$A$2:$M$150,3,FALSE))</f>
        <v>48</v>
      </c>
      <c r="N240" s="23">
        <f>IF(E240="","",VLOOKUP(E240,'Base Datos'!$A$2:$M$150,4,FALSE))</f>
        <v>75</v>
      </c>
      <c r="O240" s="23">
        <f>IF(E240="","",VLOOKUP(E240,'Base Datos'!$A$2:$M$150,5,FALSE))</f>
        <v>48</v>
      </c>
      <c r="P240" s="23">
        <f>IF(E240="","",VLOOKUP(E240,'Base Datos'!$A$2:$M$150,6,FALSE))</f>
        <v>600</v>
      </c>
      <c r="Q240" s="23">
        <f>IF(E240="","",VLOOKUP(E240,'Base Datos'!$A$2:$M$150,7,FALSE))</f>
        <v>1</v>
      </c>
      <c r="R240" s="40">
        <f>IF(E240="","",VLOOKUP(E240,'Base Datos'!$A$2:$M$150,8,FALSE))</f>
        <v>105</v>
      </c>
      <c r="S240" s="40" t="str">
        <f>IF(E240="","",VLOOKUP(E240,'Base Datos'!$A$2:$M$150,9,FALSE))</f>
        <v>PP</v>
      </c>
      <c r="T240" s="33">
        <f>IF(E240="","",(H240*I240)-(J240+K240))</f>
        <v>488</v>
      </c>
      <c r="U240" s="33">
        <f>IF(E240="","",(I240*R240)/1000)</f>
        <v>0.105</v>
      </c>
      <c r="V240" s="123">
        <f>IF(G240="",0,(G240*H240)/3600)</f>
        <v>6.235555555555556</v>
      </c>
      <c r="W240" s="45">
        <f>IFERROR(IF(E240="","",(H240/P240)),0)</f>
        <v>0.81333333333333335</v>
      </c>
      <c r="X240" s="94">
        <f>WEEKDAY(A240,1)</f>
        <v>5</v>
      </c>
      <c r="Y240" s="120">
        <f>MONTH(A240)</f>
        <v>7</v>
      </c>
      <c r="Z240" s="125">
        <f>WEEKNUM(A240)-WEEKNUM(DATE(YEAR(A240),MONTH(A240),1))+1</f>
        <v>4</v>
      </c>
      <c r="AA240" s="126">
        <f>IF(V240="",0,V240/8)</f>
        <v>0.7794444444444445</v>
      </c>
      <c r="AB240" s="125">
        <f>IF(E240="02PZ03405",0,1)</f>
        <v>1</v>
      </c>
    </row>
    <row r="241" spans="1:28" x14ac:dyDescent="0.2">
      <c r="A241" s="37">
        <v>44762</v>
      </c>
      <c r="B241" s="31" t="s">
        <v>34</v>
      </c>
      <c r="C241" s="31" t="s">
        <v>88</v>
      </c>
      <c r="D241" s="38">
        <v>5</v>
      </c>
      <c r="E241" s="39" t="s">
        <v>44</v>
      </c>
      <c r="F241" s="33" t="str">
        <f>IF(E241="","",VLOOKUP(E241,'Base Datos'!$A$2:$M$150,2,FALSE))</f>
        <v>Mate con Asa PP</v>
      </c>
      <c r="G241" s="99">
        <v>45</v>
      </c>
      <c r="H241" s="102">
        <v>706</v>
      </c>
      <c r="I241" s="32">
        <v>1</v>
      </c>
      <c r="J241" s="32">
        <v>12</v>
      </c>
      <c r="K241" s="31">
        <v>5</v>
      </c>
      <c r="L241" s="39">
        <v>184706</v>
      </c>
      <c r="M241" s="33">
        <f>IF(E241="","",VLOOKUP(E241,'Base Datos'!$A$2:$M$150,3,FALSE))</f>
        <v>48</v>
      </c>
      <c r="N241" s="23">
        <f>IF(E241="","",VLOOKUP(E241,'Base Datos'!$A$2:$M$150,4,FALSE))</f>
        <v>75</v>
      </c>
      <c r="O241" s="23">
        <f>IF(E241="","",VLOOKUP(E241,'Base Datos'!$A$2:$M$150,5,FALSE))</f>
        <v>48</v>
      </c>
      <c r="P241" s="23">
        <f>IF(E241="","",VLOOKUP(E241,'Base Datos'!$A$2:$M$150,6,FALSE))</f>
        <v>600</v>
      </c>
      <c r="Q241" s="23">
        <f>IF(E241="","",VLOOKUP(E241,'Base Datos'!$A$2:$M$150,7,FALSE))</f>
        <v>1</v>
      </c>
      <c r="R241" s="40">
        <f>IF(E241="","",VLOOKUP(E241,'Base Datos'!$A$2:$M$150,8,FALSE))</f>
        <v>105</v>
      </c>
      <c r="S241" s="40" t="str">
        <f>IF(E241="","",VLOOKUP(E241,'Base Datos'!$A$2:$M$150,9,FALSE))</f>
        <v>PP</v>
      </c>
      <c r="T241" s="33">
        <f>IF(E241="","",(H241*I241)-(J241+K241))</f>
        <v>689</v>
      </c>
      <c r="U241" s="33">
        <f>IF(E241="","",(I241*R241)/1000)</f>
        <v>0.105</v>
      </c>
      <c r="V241" s="123">
        <f>IF(G241="",0,(G241*H241)/3600)</f>
        <v>8.8249999999999993</v>
      </c>
      <c r="W241" s="45">
        <f>IFERROR(IF(E241="","",(H241/P241)),0)</f>
        <v>1.1766666666666667</v>
      </c>
      <c r="X241" s="94">
        <f>WEEKDAY(A241,1)</f>
        <v>4</v>
      </c>
      <c r="Y241" s="120">
        <f>MONTH(A241)</f>
        <v>7</v>
      </c>
      <c r="Z241" s="125">
        <f>WEEKNUM(A241)-WEEKNUM(DATE(YEAR(A241),MONTH(A241),1))+1</f>
        <v>4</v>
      </c>
      <c r="AA241" s="126">
        <f>IF(V241="",0,V241/8)</f>
        <v>1.1031249999999999</v>
      </c>
      <c r="AB241" s="125">
        <f>IF(E241="02PZ03405",0,1)</f>
        <v>1</v>
      </c>
    </row>
    <row r="242" spans="1:28" x14ac:dyDescent="0.2">
      <c r="A242" s="37">
        <v>44761</v>
      </c>
      <c r="B242" s="31" t="s">
        <v>34</v>
      </c>
      <c r="C242" s="31" t="s">
        <v>88</v>
      </c>
      <c r="D242" s="38">
        <v>5</v>
      </c>
      <c r="E242" s="39" t="s">
        <v>44</v>
      </c>
      <c r="F242" s="33" t="str">
        <f>IF(E242="","",VLOOKUP(E242,'Base Datos'!$A$2:$M$150,2,FALSE))</f>
        <v>Mate con Asa PP</v>
      </c>
      <c r="G242" s="99">
        <v>40</v>
      </c>
      <c r="H242" s="102">
        <v>654</v>
      </c>
      <c r="I242" s="32">
        <v>1</v>
      </c>
      <c r="J242" s="32">
        <v>10</v>
      </c>
      <c r="K242" s="31">
        <v>5</v>
      </c>
      <c r="L242" s="39">
        <v>184706</v>
      </c>
      <c r="M242" s="33">
        <f>IF(E242="","",VLOOKUP(E242,'Base Datos'!$A$2:$M$150,3,FALSE))</f>
        <v>48</v>
      </c>
      <c r="N242" s="23">
        <f>IF(E242="","",VLOOKUP(E242,'Base Datos'!$A$2:$M$150,4,FALSE))</f>
        <v>75</v>
      </c>
      <c r="O242" s="23">
        <f>IF(E242="","",VLOOKUP(E242,'Base Datos'!$A$2:$M$150,5,FALSE))</f>
        <v>48</v>
      </c>
      <c r="P242" s="23">
        <f>IF(E242="","",VLOOKUP(E242,'Base Datos'!$A$2:$M$150,6,FALSE))</f>
        <v>600</v>
      </c>
      <c r="Q242" s="23">
        <f>IF(E242="","",VLOOKUP(E242,'Base Datos'!$A$2:$M$150,7,FALSE))</f>
        <v>1</v>
      </c>
      <c r="R242" s="40">
        <f>IF(E242="","",VLOOKUP(E242,'Base Datos'!$A$2:$M$150,8,FALSE))</f>
        <v>105</v>
      </c>
      <c r="S242" s="40" t="str">
        <f>IF(E242="","",VLOOKUP(E242,'Base Datos'!$A$2:$M$150,9,FALSE))</f>
        <v>PP</v>
      </c>
      <c r="T242" s="33">
        <f>IF(E242="","",(H242*I242)-(J242+K242))</f>
        <v>639</v>
      </c>
      <c r="U242" s="33">
        <f>IF(E242="","",(I242*R242)/1000)</f>
        <v>0.105</v>
      </c>
      <c r="V242" s="123">
        <f>IF(G242="",0,(G242*H242)/3600)</f>
        <v>7.2666666666666666</v>
      </c>
      <c r="W242" s="45">
        <f>IFERROR(IF(E242="","",(H242/P242)),0)</f>
        <v>1.0900000000000001</v>
      </c>
      <c r="X242" s="94">
        <f>WEEKDAY(A242,1)</f>
        <v>3</v>
      </c>
      <c r="Y242" s="120">
        <f>MONTH(A242)</f>
        <v>7</v>
      </c>
      <c r="Z242" s="125">
        <f>WEEKNUM(A242)-WEEKNUM(DATE(YEAR(A242),MONTH(A242),1))+1</f>
        <v>4</v>
      </c>
      <c r="AA242" s="126">
        <f>IF(V242="",0,V242/8)</f>
        <v>0.90833333333333333</v>
      </c>
      <c r="AB242" s="125">
        <f>IF(E242="02PZ03405",0,1)</f>
        <v>1</v>
      </c>
    </row>
    <row r="243" spans="1:28" x14ac:dyDescent="0.2">
      <c r="A243" s="37">
        <v>44760</v>
      </c>
      <c r="B243" s="31" t="s">
        <v>86</v>
      </c>
      <c r="C243" s="31" t="s">
        <v>88</v>
      </c>
      <c r="D243" s="38">
        <v>5</v>
      </c>
      <c r="E243" s="39" t="s">
        <v>44</v>
      </c>
      <c r="F243" s="33" t="str">
        <f>IF(E243="","",VLOOKUP(E243,'Base Datos'!$A$2:$M$150,2,FALSE))</f>
        <v>Mate con Asa PP</v>
      </c>
      <c r="G243" s="99">
        <v>59</v>
      </c>
      <c r="H243" s="102">
        <v>320</v>
      </c>
      <c r="I243" s="32">
        <v>1</v>
      </c>
      <c r="J243" s="32">
        <v>10</v>
      </c>
      <c r="K243" s="31">
        <v>5</v>
      </c>
      <c r="L243" s="39">
        <v>184706</v>
      </c>
      <c r="M243" s="33">
        <f>IF(E243="","",VLOOKUP(E243,'Base Datos'!$A$2:$M$150,3,FALSE))</f>
        <v>48</v>
      </c>
      <c r="N243" s="23">
        <f>IF(E243="","",VLOOKUP(E243,'Base Datos'!$A$2:$M$150,4,FALSE))</f>
        <v>75</v>
      </c>
      <c r="O243" s="23">
        <f>IF(E243="","",VLOOKUP(E243,'Base Datos'!$A$2:$M$150,5,FALSE))</f>
        <v>48</v>
      </c>
      <c r="P243" s="23">
        <f>IF(E243="","",VLOOKUP(E243,'Base Datos'!$A$2:$M$150,6,FALSE))</f>
        <v>600</v>
      </c>
      <c r="Q243" s="23">
        <f>IF(E243="","",VLOOKUP(E243,'Base Datos'!$A$2:$M$150,7,FALSE))</f>
        <v>1</v>
      </c>
      <c r="R243" s="40">
        <f>IF(E243="","",VLOOKUP(E243,'Base Datos'!$A$2:$M$150,8,FALSE))</f>
        <v>105</v>
      </c>
      <c r="S243" s="40" t="str">
        <f>IF(E243="","",VLOOKUP(E243,'Base Datos'!$A$2:$M$150,9,FALSE))</f>
        <v>PP</v>
      </c>
      <c r="T243" s="33">
        <f>IF(E243="","",(H243*I243)-(J243+K243))</f>
        <v>305</v>
      </c>
      <c r="U243" s="33">
        <f>IF(E243="","",(I243*R243)/1000)</f>
        <v>0.105</v>
      </c>
      <c r="V243" s="123">
        <f>IF(G243="",0,(G243*H243)/3600)</f>
        <v>5.2444444444444445</v>
      </c>
      <c r="W243" s="45">
        <f>IFERROR(IF(E243="","",(H243/P243)),0)</f>
        <v>0.53333333333333333</v>
      </c>
      <c r="X243" s="94">
        <f>WEEKDAY(A243,1)</f>
        <v>2</v>
      </c>
      <c r="Y243" s="120">
        <f>MONTH(A243)</f>
        <v>7</v>
      </c>
      <c r="Z243" s="125">
        <f>WEEKNUM(A243)-WEEKNUM(DATE(YEAR(A243),MONTH(A243),1))+1</f>
        <v>4</v>
      </c>
      <c r="AA243" s="126">
        <f>IF(V243="",0,V243/8)</f>
        <v>0.65555555555555556</v>
      </c>
      <c r="AB243" s="125">
        <f>IF(E243="02PZ03405",0,1)</f>
        <v>1</v>
      </c>
    </row>
    <row r="244" spans="1:28" x14ac:dyDescent="0.2">
      <c r="A244" s="37">
        <v>44757</v>
      </c>
      <c r="B244" s="119" t="s">
        <v>34</v>
      </c>
      <c r="C244" s="31" t="s">
        <v>88</v>
      </c>
      <c r="D244" s="118">
        <v>5</v>
      </c>
      <c r="E244" s="39" t="s">
        <v>44</v>
      </c>
      <c r="F244" s="33" t="str">
        <f>IF(E244="","",VLOOKUP(E244,'Base Datos'!$A$2:$M$150,2,FALSE))</f>
        <v>Mate con Asa PP</v>
      </c>
      <c r="G244" s="99">
        <v>30</v>
      </c>
      <c r="H244" s="102">
        <v>595</v>
      </c>
      <c r="I244" s="32">
        <v>1</v>
      </c>
      <c r="J244" s="32">
        <v>5</v>
      </c>
      <c r="K244" s="31">
        <v>2</v>
      </c>
      <c r="L244" s="39">
        <v>184706</v>
      </c>
      <c r="M244" s="33">
        <f>IF(E244="","",VLOOKUP(E244,'Base Datos'!$A$2:$M$150,3,FALSE))</f>
        <v>48</v>
      </c>
      <c r="N244" s="23">
        <f>IF(E244="","",VLOOKUP(E244,'Base Datos'!$A$2:$M$150,4,FALSE))</f>
        <v>75</v>
      </c>
      <c r="O244" s="23">
        <f>IF(E244="","",VLOOKUP(E244,'Base Datos'!$A$2:$M$150,5,FALSE))</f>
        <v>48</v>
      </c>
      <c r="P244" s="23">
        <f>IF(E244="","",VLOOKUP(E244,'Base Datos'!$A$2:$M$150,6,FALSE))</f>
        <v>600</v>
      </c>
      <c r="Q244" s="23">
        <f>IF(E244="","",VLOOKUP(E244,'Base Datos'!$A$2:$M$150,7,FALSE))</f>
        <v>1</v>
      </c>
      <c r="R244" s="40">
        <f>IF(E244="","",VLOOKUP(E244,'Base Datos'!$A$2:$M$150,8,FALSE))</f>
        <v>105</v>
      </c>
      <c r="S244" s="40" t="str">
        <f>IF(E244="","",VLOOKUP(E244,'Base Datos'!$A$2:$M$150,9,FALSE))</f>
        <v>PP</v>
      </c>
      <c r="T244" s="33">
        <f>IF(E244="","",(H244*I244)-(J244+K244))</f>
        <v>588</v>
      </c>
      <c r="U244" s="33">
        <f>IF(E244="","",(I244*R244)/1000)</f>
        <v>0.105</v>
      </c>
      <c r="V244" s="123">
        <f>IF(G244="",0,(G244*H244)/3600)</f>
        <v>4.958333333333333</v>
      </c>
      <c r="W244" s="45">
        <f>IFERROR(IF(E244="","",(H244/P244)),0)</f>
        <v>0.9916666666666667</v>
      </c>
      <c r="X244" s="94">
        <f>WEEKDAY(A244,1)</f>
        <v>6</v>
      </c>
      <c r="Y244" s="120">
        <f>MONTH(A244)</f>
        <v>7</v>
      </c>
      <c r="Z244" s="125">
        <f>WEEKNUM(A244)-WEEKNUM(DATE(YEAR(A244),MONTH(A244),1))+1</f>
        <v>3</v>
      </c>
      <c r="AA244" s="126">
        <f>IF(V244="",0,V244/8)</f>
        <v>0.61979166666666663</v>
      </c>
      <c r="AB244" s="125">
        <f>IF(E244="02PZ03405",0,1)</f>
        <v>1</v>
      </c>
    </row>
    <row r="245" spans="1:28" x14ac:dyDescent="0.2">
      <c r="A245" s="37">
        <v>44756</v>
      </c>
      <c r="B245" s="31" t="s">
        <v>34</v>
      </c>
      <c r="C245" s="31" t="s">
        <v>88</v>
      </c>
      <c r="D245" s="38">
        <v>5</v>
      </c>
      <c r="E245" s="39" t="s">
        <v>44</v>
      </c>
      <c r="F245" s="33" t="str">
        <f>IF(E245="","",VLOOKUP(E245,'Base Datos'!$A$2:$M$150,2,FALSE))</f>
        <v>Mate con Asa PP</v>
      </c>
      <c r="G245" s="32">
        <v>48</v>
      </c>
      <c r="H245" s="102">
        <v>602</v>
      </c>
      <c r="I245" s="32">
        <v>1</v>
      </c>
      <c r="J245" s="32">
        <v>10</v>
      </c>
      <c r="K245" s="31">
        <v>5</v>
      </c>
      <c r="L245" s="39">
        <v>184706</v>
      </c>
      <c r="M245" s="33">
        <f>IF(E245="","",VLOOKUP(E245,'Base Datos'!$A$2:$M$150,3,FALSE))</f>
        <v>48</v>
      </c>
      <c r="N245" s="23">
        <f>IF(E245="","",VLOOKUP(E245,'Base Datos'!$A$2:$M$150,4,FALSE))</f>
        <v>75</v>
      </c>
      <c r="O245" s="23">
        <f>IF(E245="","",VLOOKUP(E245,'Base Datos'!$A$2:$M$150,5,FALSE))</f>
        <v>48</v>
      </c>
      <c r="P245" s="23">
        <f>IF(E245="","",VLOOKUP(E245,'Base Datos'!$A$2:$M$150,6,FALSE))</f>
        <v>600</v>
      </c>
      <c r="Q245" s="23">
        <f>IF(E245="","",VLOOKUP(E245,'Base Datos'!$A$2:$M$150,7,FALSE))</f>
        <v>1</v>
      </c>
      <c r="R245" s="40">
        <f>IF(E245="","",VLOOKUP(E245,'Base Datos'!$A$2:$M$150,8,FALSE))</f>
        <v>105</v>
      </c>
      <c r="S245" s="40" t="str">
        <f>IF(E245="","",VLOOKUP(E245,'Base Datos'!$A$2:$M$150,9,FALSE))</f>
        <v>PP</v>
      </c>
      <c r="T245" s="33">
        <f>IF(E245="","",(H245*I245)-(J245+K245))</f>
        <v>587</v>
      </c>
      <c r="U245" s="33">
        <f>IF(E245="","",(I245*R245)/1000)</f>
        <v>0.105</v>
      </c>
      <c r="V245" s="123">
        <f>IF(G245="",0,(G245*H245)/3600)</f>
        <v>8.0266666666666673</v>
      </c>
      <c r="W245" s="45">
        <f>IFERROR(IF(E245="","",(H245/P245)),0)</f>
        <v>1.0033333333333334</v>
      </c>
      <c r="X245" s="94">
        <f>WEEKDAY(A245,1)</f>
        <v>5</v>
      </c>
      <c r="Y245" s="120">
        <f>MONTH(A245)</f>
        <v>7</v>
      </c>
      <c r="Z245" s="125">
        <f>WEEKNUM(A245)-WEEKNUM(DATE(YEAR(A245),MONTH(A245),1))+1</f>
        <v>3</v>
      </c>
      <c r="AA245" s="126">
        <f>IF(V245="",0,V245/8)</f>
        <v>1.0033333333333334</v>
      </c>
      <c r="AB245" s="125">
        <f>IF(E245="02PZ03405",0,1)</f>
        <v>1</v>
      </c>
    </row>
    <row r="246" spans="1:28" x14ac:dyDescent="0.2">
      <c r="A246" s="37">
        <v>44755</v>
      </c>
      <c r="B246" s="31" t="s">
        <v>34</v>
      </c>
      <c r="C246" s="31" t="s">
        <v>88</v>
      </c>
      <c r="D246" s="38">
        <v>5</v>
      </c>
      <c r="E246" s="39" t="s">
        <v>44</v>
      </c>
      <c r="F246" s="33" t="str">
        <f>IF(E246="","",VLOOKUP(E246,'Base Datos'!$A$2:$M$150,2,FALSE))</f>
        <v>Mate con Asa PP</v>
      </c>
      <c r="G246" s="32">
        <v>49</v>
      </c>
      <c r="H246" s="102">
        <v>500</v>
      </c>
      <c r="I246" s="32">
        <v>1</v>
      </c>
      <c r="J246" s="32">
        <v>2</v>
      </c>
      <c r="K246" s="31">
        <v>5</v>
      </c>
      <c r="L246" s="39">
        <v>184706</v>
      </c>
      <c r="M246" s="33">
        <f>IF(E246="","",VLOOKUP(E246,'Base Datos'!$A$2:$M$150,3,FALSE))</f>
        <v>48</v>
      </c>
      <c r="N246" s="23">
        <f>IF(E246="","",VLOOKUP(E246,'Base Datos'!$A$2:$M$150,4,FALSE))</f>
        <v>75</v>
      </c>
      <c r="O246" s="23">
        <f>IF(E246="","",VLOOKUP(E246,'Base Datos'!$A$2:$M$150,5,FALSE))</f>
        <v>48</v>
      </c>
      <c r="P246" s="23">
        <f>IF(E246="","",VLOOKUP(E246,'Base Datos'!$A$2:$M$150,6,FALSE))</f>
        <v>600</v>
      </c>
      <c r="Q246" s="23">
        <f>IF(E246="","",VLOOKUP(E246,'Base Datos'!$A$2:$M$150,7,FALSE))</f>
        <v>1</v>
      </c>
      <c r="R246" s="40">
        <f>IF(E246="","",VLOOKUP(E246,'Base Datos'!$A$2:$M$150,8,FALSE))</f>
        <v>105</v>
      </c>
      <c r="S246" s="40" t="str">
        <f>IF(E246="","",VLOOKUP(E246,'Base Datos'!$A$2:$M$150,9,FALSE))</f>
        <v>PP</v>
      </c>
      <c r="T246" s="33">
        <f>IF(E246="","",(H246*I246)-(J246+K246))</f>
        <v>493</v>
      </c>
      <c r="U246" s="33">
        <f>IF(E246="","",(I246*R246)/1000)</f>
        <v>0.105</v>
      </c>
      <c r="V246" s="123">
        <f>IF(G246="",0,(G246*H246)/3600)</f>
        <v>6.8055555555555554</v>
      </c>
      <c r="W246" s="45">
        <f>IFERROR(IF(E246="","",(H246/P246)),0)</f>
        <v>0.83333333333333337</v>
      </c>
      <c r="X246" s="94">
        <f>WEEKDAY(A246,1)</f>
        <v>4</v>
      </c>
      <c r="Y246" s="120">
        <f>MONTH(A246)</f>
        <v>7</v>
      </c>
      <c r="Z246" s="125">
        <f>WEEKNUM(A246)-WEEKNUM(DATE(YEAR(A246),MONTH(A246),1))+1</f>
        <v>3</v>
      </c>
      <c r="AA246" s="126">
        <f>IF(V246="",0,V246/8)</f>
        <v>0.85069444444444442</v>
      </c>
      <c r="AB246" s="125">
        <f>IF(E246="02PZ03405",0,1)</f>
        <v>1</v>
      </c>
    </row>
    <row r="247" spans="1:28" x14ac:dyDescent="0.2">
      <c r="A247" s="37">
        <v>44775</v>
      </c>
      <c r="B247" s="31" t="s">
        <v>87</v>
      </c>
      <c r="C247" s="31" t="s">
        <v>92</v>
      </c>
      <c r="D247" s="38">
        <v>4</v>
      </c>
      <c r="E247" s="39" t="s">
        <v>46</v>
      </c>
      <c r="F247" s="33" t="str">
        <f>IF(E247="","",VLOOKUP(E247,'Base Datos'!$A$2:$M$150,2,FALSE))</f>
        <v>Marco superior pico transparente</v>
      </c>
      <c r="G247" s="99">
        <v>31</v>
      </c>
      <c r="H247" s="102">
        <v>727</v>
      </c>
      <c r="I247" s="32">
        <v>0</v>
      </c>
      <c r="J247" s="32"/>
      <c r="K247" s="31">
        <v>0</v>
      </c>
      <c r="L247" s="39">
        <v>184975</v>
      </c>
      <c r="M247" s="33">
        <f>IF(E247="","",VLOOKUP(E247,'Base Datos'!$A$2:$M$150,3,FALSE))</f>
        <v>4.75</v>
      </c>
      <c r="N247" s="23">
        <f>IF(E247="","",VLOOKUP(E247,'Base Datos'!$A$2:$M$150,4,FALSE))</f>
        <v>752</v>
      </c>
      <c r="O247" s="23">
        <f>IF(E247="","",VLOOKUP(E247,'Base Datos'!$A$2:$M$150,5,FALSE))</f>
        <v>38</v>
      </c>
      <c r="P247" s="23">
        <f>IF(E247="","",VLOOKUP(E247,'Base Datos'!$A$2:$M$150,6,FALSE))</f>
        <v>758</v>
      </c>
      <c r="Q247" s="23">
        <f>IF(E247="","",VLOOKUP(E247,'Base Datos'!$A$2:$M$150,7,FALSE))</f>
        <v>8</v>
      </c>
      <c r="R247" s="40">
        <f>IF(E247="","",VLOOKUP(E247,'Base Datos'!$A$2:$M$150,8,FALSE))</f>
        <v>2.8</v>
      </c>
      <c r="S247" s="40" t="str">
        <f>IF(E247="","",VLOOKUP(E247,'Base Datos'!$A$2:$M$150,9,FALSE))</f>
        <v>PP</v>
      </c>
      <c r="T247" s="33">
        <f>IF(E247="","",(H247*I247)-(J247+K247))</f>
        <v>0</v>
      </c>
      <c r="U247" s="33">
        <f>IF(E247="","",(I247*R247)/1000)</f>
        <v>0</v>
      </c>
      <c r="V247" s="123">
        <f>IF(G247="",0,(G247*H247)/3600)</f>
        <v>6.2602777777777776</v>
      </c>
      <c r="W247" s="45">
        <f>IFERROR(IF(E247="","",(H247/P247)),0)</f>
        <v>0.95910290237467022</v>
      </c>
      <c r="X247" s="94">
        <f>WEEKDAY(A247,1)</f>
        <v>3</v>
      </c>
      <c r="Y247" s="120">
        <f>MONTH(A247)</f>
        <v>8</v>
      </c>
      <c r="Z247" s="125">
        <f>WEEKNUM(A247)-WEEKNUM(DATE(YEAR(A247),MONTH(A247),1))+1</f>
        <v>1</v>
      </c>
      <c r="AA247" s="126">
        <f>IF(V247="",0,V247/8)</f>
        <v>0.7825347222222222</v>
      </c>
      <c r="AB247" s="125">
        <f>IF(E247="02PZ03405",0,1)</f>
        <v>1</v>
      </c>
    </row>
    <row r="248" spans="1:28" x14ac:dyDescent="0.2">
      <c r="A248" s="37">
        <v>44774</v>
      </c>
      <c r="B248" s="31" t="s">
        <v>87</v>
      </c>
      <c r="C248" s="31" t="s">
        <v>92</v>
      </c>
      <c r="D248" s="38">
        <v>4</v>
      </c>
      <c r="E248" s="39" t="s">
        <v>46</v>
      </c>
      <c r="F248" s="33" t="str">
        <f>IF(E248="","",VLOOKUP(E248,'Base Datos'!$A$2:$M$150,2,FALSE))</f>
        <v>Marco superior pico transparente</v>
      </c>
      <c r="G248" s="99">
        <v>33</v>
      </c>
      <c r="H248" s="102">
        <v>832</v>
      </c>
      <c r="I248" s="32">
        <v>6</v>
      </c>
      <c r="J248" s="32"/>
      <c r="K248" s="31">
        <v>0</v>
      </c>
      <c r="L248" s="39">
        <v>184975</v>
      </c>
      <c r="M248" s="33">
        <f>IF(E248="","",VLOOKUP(E248,'Base Datos'!$A$2:$M$150,3,FALSE))</f>
        <v>4.75</v>
      </c>
      <c r="N248" s="23">
        <f>IF(E248="","",VLOOKUP(E248,'Base Datos'!$A$2:$M$150,4,FALSE))</f>
        <v>752</v>
      </c>
      <c r="O248" s="23">
        <f>IF(E248="","",VLOOKUP(E248,'Base Datos'!$A$2:$M$150,5,FALSE))</f>
        <v>38</v>
      </c>
      <c r="P248" s="23">
        <f>IF(E248="","",VLOOKUP(E248,'Base Datos'!$A$2:$M$150,6,FALSE))</f>
        <v>758</v>
      </c>
      <c r="Q248" s="23">
        <f>IF(E248="","",VLOOKUP(E248,'Base Datos'!$A$2:$M$150,7,FALSE))</f>
        <v>8</v>
      </c>
      <c r="R248" s="40">
        <f>IF(E248="","",VLOOKUP(E248,'Base Datos'!$A$2:$M$150,8,FALSE))</f>
        <v>2.8</v>
      </c>
      <c r="S248" s="40" t="str">
        <f>IF(E248="","",VLOOKUP(E248,'Base Datos'!$A$2:$M$150,9,FALSE))</f>
        <v>PP</v>
      </c>
      <c r="T248" s="33">
        <f>IF(E248="","",(H248*I248)-(J248+K248))</f>
        <v>4992</v>
      </c>
      <c r="U248" s="33">
        <f>IF(E248="","",(I248*R248)/1000)</f>
        <v>1.6799999999999995E-2</v>
      </c>
      <c r="V248" s="123">
        <f>IF(G248="",0,(G248*H248)/3600)</f>
        <v>7.6266666666666669</v>
      </c>
      <c r="W248" s="45">
        <f>IFERROR(IF(E248="","",(H248/P248)),0)</f>
        <v>1.0976253298153034</v>
      </c>
      <c r="X248" s="94">
        <f>WEEKDAY(A248,1)</f>
        <v>2</v>
      </c>
      <c r="Y248" s="120">
        <f>MONTH(A248)</f>
        <v>8</v>
      </c>
      <c r="Z248" s="125">
        <f>WEEKNUM(A248)-WEEKNUM(DATE(YEAR(A248),MONTH(A248),1))+1</f>
        <v>1</v>
      </c>
      <c r="AA248" s="126">
        <f>IF(V248="",0,V248/8)</f>
        <v>0.95333333333333337</v>
      </c>
      <c r="AB248" s="125">
        <f>IF(E248="02PZ03405",0,1)</f>
        <v>1</v>
      </c>
    </row>
    <row r="249" spans="1:28" x14ac:dyDescent="0.2">
      <c r="A249" s="37">
        <v>44771</v>
      </c>
      <c r="B249" s="31" t="s">
        <v>87</v>
      </c>
      <c r="C249" s="31" t="s">
        <v>92</v>
      </c>
      <c r="D249" s="38">
        <v>4</v>
      </c>
      <c r="E249" s="39" t="s">
        <v>46</v>
      </c>
      <c r="F249" s="33" t="str">
        <f>IF(E249="","",VLOOKUP(E249,'Base Datos'!$A$2:$M$150,2,FALSE))</f>
        <v>Marco superior pico transparente</v>
      </c>
      <c r="G249" s="99">
        <v>36</v>
      </c>
      <c r="H249" s="102">
        <v>686</v>
      </c>
      <c r="I249" s="32">
        <v>1</v>
      </c>
      <c r="J249" s="32"/>
      <c r="K249" s="31"/>
      <c r="L249" s="39">
        <v>184975</v>
      </c>
      <c r="M249" s="33">
        <f>IF(E249="","",VLOOKUP(E249,'Base Datos'!$A$2:$M$150,3,FALSE))</f>
        <v>4.75</v>
      </c>
      <c r="N249" s="23">
        <f>IF(E249="","",VLOOKUP(E249,'Base Datos'!$A$2:$M$150,4,FALSE))</f>
        <v>752</v>
      </c>
      <c r="O249" s="23">
        <f>IF(E249="","",VLOOKUP(E249,'Base Datos'!$A$2:$M$150,5,FALSE))</f>
        <v>38</v>
      </c>
      <c r="P249" s="23">
        <f>IF(E249="","",VLOOKUP(E249,'Base Datos'!$A$2:$M$150,6,FALSE))</f>
        <v>758</v>
      </c>
      <c r="Q249" s="23">
        <f>IF(E249="","",VLOOKUP(E249,'Base Datos'!$A$2:$M$150,7,FALSE))</f>
        <v>8</v>
      </c>
      <c r="R249" s="40">
        <f>IF(E249="","",VLOOKUP(E249,'Base Datos'!$A$2:$M$150,8,FALSE))</f>
        <v>2.8</v>
      </c>
      <c r="S249" s="40" t="str">
        <f>IF(E249="","",VLOOKUP(E249,'Base Datos'!$A$2:$M$150,9,FALSE))</f>
        <v>PP</v>
      </c>
      <c r="T249" s="33">
        <f>IF(E249="","",(H249*I249)-(J249+K249))</f>
        <v>686</v>
      </c>
      <c r="U249" s="33">
        <f>IF(E249="","",(I249*R249)/1000)</f>
        <v>2.8E-3</v>
      </c>
      <c r="V249" s="123">
        <f>IF(G249="",0,(G249*H249)/3600)</f>
        <v>6.86</v>
      </c>
      <c r="W249" s="45">
        <f>IFERROR(IF(E249="","",(H249/P249)),0)</f>
        <v>0.9050131926121372</v>
      </c>
      <c r="X249" s="94">
        <f>WEEKDAY(A249,1)</f>
        <v>6</v>
      </c>
      <c r="Y249" s="120">
        <f>MONTH(A249)</f>
        <v>7</v>
      </c>
      <c r="Z249" s="125">
        <f>WEEKNUM(A249)-WEEKNUM(DATE(YEAR(A249),MONTH(A249),1))+1</f>
        <v>5</v>
      </c>
      <c r="AA249" s="126">
        <f>IF(V249="",0,V249/8)</f>
        <v>0.85750000000000004</v>
      </c>
      <c r="AB249" s="125">
        <f>IF(E249="02PZ03405",0,1)</f>
        <v>1</v>
      </c>
    </row>
    <row r="250" spans="1:28" x14ac:dyDescent="0.2">
      <c r="A250" s="37">
        <v>44747</v>
      </c>
      <c r="B250" s="119" t="s">
        <v>87</v>
      </c>
      <c r="C250" s="31" t="s">
        <v>92</v>
      </c>
      <c r="D250" s="38">
        <v>4</v>
      </c>
      <c r="E250" s="39" t="s">
        <v>46</v>
      </c>
      <c r="F250" s="33" t="str">
        <f>IF(E250="","",VLOOKUP(E250,'Base Datos'!$A$2:$M$150,2,FALSE))</f>
        <v>Marco superior pico transparente</v>
      </c>
      <c r="G250" s="99">
        <v>31</v>
      </c>
      <c r="H250" s="102">
        <v>873</v>
      </c>
      <c r="I250" s="32">
        <v>6</v>
      </c>
      <c r="J250" s="32"/>
      <c r="K250" s="31"/>
      <c r="L250" s="39">
        <v>183471</v>
      </c>
      <c r="M250" s="33">
        <f>IF(E250="","",VLOOKUP(E250,'Base Datos'!$A$2:$M$150,3,FALSE))</f>
        <v>4.75</v>
      </c>
      <c r="N250" s="23">
        <f>IF(E250="","",VLOOKUP(E250,'Base Datos'!$A$2:$M$150,4,FALSE))</f>
        <v>752</v>
      </c>
      <c r="O250" s="23">
        <f>IF(E250="","",VLOOKUP(E250,'Base Datos'!$A$2:$M$150,5,FALSE))</f>
        <v>38</v>
      </c>
      <c r="P250" s="23">
        <f>IF(E250="","",VLOOKUP(E250,'Base Datos'!$A$2:$M$150,6,FALSE))</f>
        <v>758</v>
      </c>
      <c r="Q250" s="23">
        <f>IF(E250="","",VLOOKUP(E250,'Base Datos'!$A$2:$M$150,7,FALSE))</f>
        <v>8</v>
      </c>
      <c r="R250" s="40">
        <f>IF(E250="","",VLOOKUP(E250,'Base Datos'!$A$2:$M$150,8,FALSE))</f>
        <v>2.8</v>
      </c>
      <c r="S250" s="40" t="str">
        <f>IF(E250="","",VLOOKUP(E250,'Base Datos'!$A$2:$M$150,9,FALSE))</f>
        <v>PP</v>
      </c>
      <c r="T250" s="33">
        <f>IF(E250="","",(H250*I250)-(J250+K250))</f>
        <v>5238</v>
      </c>
      <c r="U250" s="33">
        <f>IF(E250="","",(I250*R250)/1000)</f>
        <v>1.6799999999999995E-2</v>
      </c>
      <c r="V250" s="123">
        <f>IF(G250="",0,(G250*H250)/3600)</f>
        <v>7.5175000000000001</v>
      </c>
      <c r="W250" s="45">
        <f>IFERROR(IF(E250="","",(H250/P250)),0)</f>
        <v>1.1517150395778364</v>
      </c>
      <c r="X250" s="94">
        <f>WEEKDAY(A250,1)</f>
        <v>3</v>
      </c>
      <c r="Y250" s="120">
        <f>MONTH(A250)</f>
        <v>7</v>
      </c>
      <c r="Z250" s="125">
        <f>WEEKNUM(A250)-WEEKNUM(DATE(YEAR(A250),MONTH(A250),1))+1</f>
        <v>2</v>
      </c>
      <c r="AA250" s="126">
        <f>IF(V250="",0,V250/8)</f>
        <v>0.93968750000000001</v>
      </c>
      <c r="AB250" s="125">
        <f>IF(E250="02PZ03405",0,1)</f>
        <v>1</v>
      </c>
    </row>
    <row r="251" spans="1:28" x14ac:dyDescent="0.2">
      <c r="A251" s="148">
        <v>44746</v>
      </c>
      <c r="B251" s="96" t="s">
        <v>87</v>
      </c>
      <c r="C251" s="96" t="s">
        <v>92</v>
      </c>
      <c r="D251" s="38">
        <v>4</v>
      </c>
      <c r="E251" s="39" t="s">
        <v>46</v>
      </c>
      <c r="F251" s="95" t="str">
        <f>IF(E251="","",VLOOKUP(E251,'Base Datos'!$A$2:$M$150,2,FALSE))</f>
        <v>Marco superior pico transparente</v>
      </c>
      <c r="G251" s="99">
        <v>31</v>
      </c>
      <c r="H251" s="99">
        <v>851</v>
      </c>
      <c r="I251" s="99">
        <v>6</v>
      </c>
      <c r="J251" s="99"/>
      <c r="K251" s="39">
        <v>150</v>
      </c>
      <c r="L251" s="39">
        <v>183471</v>
      </c>
      <c r="M251" s="97">
        <f>IF(E251="","",VLOOKUP(E251,'Base Datos'!$A$2:$M$150,3,FALSE))</f>
        <v>4.75</v>
      </c>
      <c r="N251" s="40">
        <f>IF(E251="","",VLOOKUP(E251,'Base Datos'!$A$2:$M$150,4,FALSE))</f>
        <v>752</v>
      </c>
      <c r="O251" s="40">
        <f>IF(E251="","",VLOOKUP(E251,'Base Datos'!$A$2:$M$150,5,FALSE))</f>
        <v>38</v>
      </c>
      <c r="P251" s="40">
        <f>IF(E251="","",VLOOKUP(E251,'Base Datos'!$A$2:$M$150,6,FALSE))</f>
        <v>758</v>
      </c>
      <c r="Q251" s="40">
        <f>IF(E251="","",VLOOKUP(E251,'Base Datos'!$A$2:$M$150,7,FALSE))</f>
        <v>8</v>
      </c>
      <c r="R251" s="40">
        <f>IF(E251="","",VLOOKUP(E251,'Base Datos'!$A$2:$M$150,8,FALSE))</f>
        <v>2.8</v>
      </c>
      <c r="S251" s="40" t="str">
        <f>IF(E251="","",VLOOKUP(E251,'Base Datos'!$A$2:$M$150,9,FALSE))</f>
        <v>PP</v>
      </c>
      <c r="T251" s="97">
        <f>IF(E251="","",(H251*I251)-(J251+K251))</f>
        <v>4956</v>
      </c>
      <c r="U251" s="98">
        <f>IF(E251="","",(H251*R251)/1000)</f>
        <v>2.3827999999999996</v>
      </c>
      <c r="V251" s="123">
        <f>IF(G251="",0,(G251*H251)/3600)</f>
        <v>7.3280555555555553</v>
      </c>
      <c r="W251" s="45">
        <f>IFERROR(IF(E251="","",(H251/P251)),0)</f>
        <v>1.1226912928759893</v>
      </c>
      <c r="X251" s="94">
        <f>WEEKDAY(A251,1)</f>
        <v>2</v>
      </c>
      <c r="Y251" s="120">
        <f>MONTH(A251)</f>
        <v>7</v>
      </c>
      <c r="Z251" s="125">
        <f>WEEKNUM(A251)-WEEKNUM(DATE(YEAR(A251),MONTH(A251),1))+1</f>
        <v>2</v>
      </c>
      <c r="AA251" s="126">
        <f>IF(V251="",0,V251/8)</f>
        <v>0.91600694444444442</v>
      </c>
      <c r="AB251" s="125">
        <f>IF(E251="02PZ03405",0,1)</f>
        <v>1</v>
      </c>
    </row>
    <row r="252" spans="1:28" x14ac:dyDescent="0.2">
      <c r="A252" s="148">
        <v>44743</v>
      </c>
      <c r="B252" s="96" t="s">
        <v>87</v>
      </c>
      <c r="C252" s="96" t="s">
        <v>92</v>
      </c>
      <c r="D252" s="38">
        <v>4</v>
      </c>
      <c r="E252" s="39" t="s">
        <v>46</v>
      </c>
      <c r="F252" s="95" t="str">
        <f>IF(E252="","",VLOOKUP(E252,'Base Datos'!$A$2:$M$150,2,FALSE))</f>
        <v>Marco superior pico transparente</v>
      </c>
      <c r="G252" s="99">
        <v>31</v>
      </c>
      <c r="H252" s="99">
        <v>780</v>
      </c>
      <c r="I252" s="99">
        <v>6</v>
      </c>
      <c r="J252" s="99"/>
      <c r="K252" s="39">
        <v>150</v>
      </c>
      <c r="L252" s="39">
        <v>183471</v>
      </c>
      <c r="M252" s="97">
        <f>IF(E252="","",VLOOKUP(E252,'Base Datos'!$A$2:$M$150,3,FALSE))</f>
        <v>4.75</v>
      </c>
      <c r="N252" s="40">
        <f>IF(E252="","",VLOOKUP(E252,'Base Datos'!$A$2:$M$150,4,FALSE))</f>
        <v>752</v>
      </c>
      <c r="O252" s="40">
        <f>IF(E252="","",VLOOKUP(E252,'Base Datos'!$A$2:$M$150,5,FALSE))</f>
        <v>38</v>
      </c>
      <c r="P252" s="40">
        <f>IF(E252="","",VLOOKUP(E252,'Base Datos'!$A$2:$M$150,6,FALSE))</f>
        <v>758</v>
      </c>
      <c r="Q252" s="40">
        <f>IF(E252="","",VLOOKUP(E252,'Base Datos'!$A$2:$M$150,7,FALSE))</f>
        <v>8</v>
      </c>
      <c r="R252" s="40">
        <f>IF(E252="","",VLOOKUP(E252,'Base Datos'!$A$2:$M$150,8,FALSE))</f>
        <v>2.8</v>
      </c>
      <c r="S252" s="40" t="str">
        <f>IF(E252="","",VLOOKUP(E252,'Base Datos'!$A$2:$M$150,9,FALSE))</f>
        <v>PP</v>
      </c>
      <c r="T252" s="97">
        <f>IF(E252="","",(H252*I252)-(J252+K252))</f>
        <v>4530</v>
      </c>
      <c r="U252" s="98">
        <f>IF(E252="","",(H252*R252)/1000)</f>
        <v>2.1840000000000002</v>
      </c>
      <c r="V252" s="123">
        <f>IF(G252="",0,(G252*H252)/3600)</f>
        <v>6.7166666666666668</v>
      </c>
      <c r="W252" s="45">
        <f>IFERROR(IF(E252="","",(H252/P252)),0)</f>
        <v>1.029023746701847</v>
      </c>
      <c r="X252" s="94">
        <f>WEEKDAY(A252,1)</f>
        <v>6</v>
      </c>
      <c r="Y252" s="120">
        <f>MONTH(A252)</f>
        <v>7</v>
      </c>
      <c r="Z252" s="125">
        <f>WEEKNUM(A252)-WEEKNUM(DATE(YEAR(A252),MONTH(A252),1))+1</f>
        <v>1</v>
      </c>
      <c r="AA252" s="126">
        <f>IF(V252="",0,V252/8)</f>
        <v>0.83958333333333335</v>
      </c>
      <c r="AB252" s="125">
        <f>IF(E252="02PZ03405",0,1)</f>
        <v>1</v>
      </c>
    </row>
    <row r="253" spans="1:28" x14ac:dyDescent="0.2">
      <c r="A253" s="37">
        <v>44774</v>
      </c>
      <c r="B253" s="31" t="s">
        <v>34</v>
      </c>
      <c r="C253" s="31" t="s">
        <v>35</v>
      </c>
      <c r="D253" s="38">
        <v>4</v>
      </c>
      <c r="E253" s="39" t="s">
        <v>46</v>
      </c>
      <c r="F253" s="33" t="str">
        <f>IF(E253="","",VLOOKUP(E253,'Base Datos'!$A$2:$M$150,2,FALSE))</f>
        <v>Marco superior pico transparente</v>
      </c>
      <c r="G253" s="99">
        <v>30</v>
      </c>
      <c r="H253" s="102">
        <v>900</v>
      </c>
      <c r="I253" s="32">
        <v>6</v>
      </c>
      <c r="J253" s="32"/>
      <c r="K253" s="31"/>
      <c r="L253" s="39">
        <v>184975</v>
      </c>
      <c r="M253" s="33">
        <f>IF(E253="","",VLOOKUP(E253,'Base Datos'!$A$2:$M$150,3,FALSE))</f>
        <v>4.75</v>
      </c>
      <c r="N253" s="23">
        <f>IF(E253="","",VLOOKUP(E253,'Base Datos'!$A$2:$M$150,4,FALSE))</f>
        <v>752</v>
      </c>
      <c r="O253" s="23">
        <f>IF(E253="","",VLOOKUP(E253,'Base Datos'!$A$2:$M$150,5,FALSE))</f>
        <v>38</v>
      </c>
      <c r="P253" s="23">
        <f>IF(E253="","",VLOOKUP(E253,'Base Datos'!$A$2:$M$150,6,FALSE))</f>
        <v>758</v>
      </c>
      <c r="Q253" s="23">
        <f>IF(E253="","",VLOOKUP(E253,'Base Datos'!$A$2:$M$150,7,FALSE))</f>
        <v>8</v>
      </c>
      <c r="R253" s="40">
        <f>IF(E253="","",VLOOKUP(E253,'Base Datos'!$A$2:$M$150,8,FALSE))</f>
        <v>2.8</v>
      </c>
      <c r="S253" s="40" t="str">
        <f>IF(E253="","",VLOOKUP(E253,'Base Datos'!$A$2:$M$150,9,FALSE))</f>
        <v>PP</v>
      </c>
      <c r="T253" s="33">
        <f>IF(E253="","",(H253*I253)-(J253+K253))</f>
        <v>5400</v>
      </c>
      <c r="U253" s="33">
        <f>IF(E253="","",(I253*R253)/1000)</f>
        <v>1.6799999999999995E-2</v>
      </c>
      <c r="V253" s="123">
        <f>IF(G253="",0,(G253*H253)/3600)</f>
        <v>7.5</v>
      </c>
      <c r="W253" s="45">
        <f>IFERROR(IF(E253="","",(H253/P253)),0)</f>
        <v>1.187335092348285</v>
      </c>
      <c r="X253" s="94">
        <f>WEEKDAY(A253,1)</f>
        <v>2</v>
      </c>
      <c r="Y253" s="120">
        <f>MONTH(A253)</f>
        <v>8</v>
      </c>
      <c r="Z253" s="125">
        <f>WEEKNUM(A253)-WEEKNUM(DATE(YEAR(A253),MONTH(A253),1))+1</f>
        <v>1</v>
      </c>
      <c r="AA253" s="126">
        <f>IF(V253="",0,V253/8)</f>
        <v>0.9375</v>
      </c>
      <c r="AB253" s="125">
        <f>IF(E253="02PZ03405",0,1)</f>
        <v>1</v>
      </c>
    </row>
    <row r="254" spans="1:28" x14ac:dyDescent="0.2">
      <c r="A254" s="37">
        <v>44747</v>
      </c>
      <c r="B254" s="119" t="s">
        <v>34</v>
      </c>
      <c r="C254" s="31" t="s">
        <v>35</v>
      </c>
      <c r="D254" s="38">
        <v>4</v>
      </c>
      <c r="E254" s="39" t="s">
        <v>46</v>
      </c>
      <c r="F254" s="33" t="str">
        <f>IF(E254="","",VLOOKUP(E254,'Base Datos'!$A$2:$M$150,2,FALSE))</f>
        <v>Marco superior pico transparente</v>
      </c>
      <c r="G254" s="99">
        <v>31</v>
      </c>
      <c r="H254" s="102">
        <v>962</v>
      </c>
      <c r="I254" s="32">
        <v>6</v>
      </c>
      <c r="J254" s="32"/>
      <c r="K254" s="31"/>
      <c r="L254" s="39">
        <v>183471</v>
      </c>
      <c r="M254" s="33">
        <f>IF(E254="","",VLOOKUP(E254,'Base Datos'!$A$2:$M$150,3,FALSE))</f>
        <v>4.75</v>
      </c>
      <c r="N254" s="23">
        <f>IF(E254="","",VLOOKUP(E254,'Base Datos'!$A$2:$M$150,4,FALSE))</f>
        <v>752</v>
      </c>
      <c r="O254" s="23">
        <f>IF(E254="","",VLOOKUP(E254,'Base Datos'!$A$2:$M$150,5,FALSE))</f>
        <v>38</v>
      </c>
      <c r="P254" s="23">
        <f>IF(E254="","",VLOOKUP(E254,'Base Datos'!$A$2:$M$150,6,FALSE))</f>
        <v>758</v>
      </c>
      <c r="Q254" s="23">
        <f>IF(E254="","",VLOOKUP(E254,'Base Datos'!$A$2:$M$150,7,FALSE))</f>
        <v>8</v>
      </c>
      <c r="R254" s="40">
        <f>IF(E254="","",VLOOKUP(E254,'Base Datos'!$A$2:$M$150,8,FALSE))</f>
        <v>2.8</v>
      </c>
      <c r="S254" s="40" t="str">
        <f>IF(E254="","",VLOOKUP(E254,'Base Datos'!$A$2:$M$150,9,FALSE))</f>
        <v>PP</v>
      </c>
      <c r="T254" s="33">
        <f>IF(E254="","",(H254*I254)-(J254+K254))</f>
        <v>5772</v>
      </c>
      <c r="U254" s="33">
        <f>IF(E254="","",(I254*R254)/1000)</f>
        <v>1.6799999999999995E-2</v>
      </c>
      <c r="V254" s="123">
        <f>IF(G254="",0,(G254*H254)/3600)</f>
        <v>8.2838888888888889</v>
      </c>
      <c r="W254" s="45">
        <f>IFERROR(IF(E254="","",(H254/P254)),0)</f>
        <v>1.2691292875989446</v>
      </c>
      <c r="X254" s="94">
        <f>WEEKDAY(A254,1)</f>
        <v>3</v>
      </c>
      <c r="Y254" s="120">
        <f>MONTH(A254)</f>
        <v>7</v>
      </c>
      <c r="Z254" s="125">
        <f>WEEKNUM(A254)-WEEKNUM(DATE(YEAR(A254),MONTH(A254),1))+1</f>
        <v>2</v>
      </c>
      <c r="AA254" s="126">
        <f>IF(V254="",0,V254/8)</f>
        <v>1.0354861111111111</v>
      </c>
      <c r="AB254" s="125">
        <f>IF(E254="02PZ03405",0,1)</f>
        <v>1</v>
      </c>
    </row>
    <row r="255" spans="1:28" x14ac:dyDescent="0.2">
      <c r="A255" s="101">
        <v>44748</v>
      </c>
      <c r="B255" s="96" t="s">
        <v>34</v>
      </c>
      <c r="C255" s="96" t="s">
        <v>35</v>
      </c>
      <c r="D255" s="38">
        <v>4</v>
      </c>
      <c r="E255" s="39" t="s">
        <v>46</v>
      </c>
      <c r="F255" s="95" t="str">
        <f>IF(E255="","",VLOOKUP(E255,'Base Datos'!$A$2:$M$150,2,FALSE))</f>
        <v>Marco superior pico transparente</v>
      </c>
      <c r="G255" s="99">
        <v>31</v>
      </c>
      <c r="H255" s="99">
        <v>884</v>
      </c>
      <c r="I255" s="99">
        <v>6</v>
      </c>
      <c r="J255" s="99">
        <v>0</v>
      </c>
      <c r="K255" s="39">
        <v>0</v>
      </c>
      <c r="L255" s="39">
        <v>183471</v>
      </c>
      <c r="M255" s="97">
        <f>IF(E255="","",VLOOKUP(E255,'Base Datos'!$A$2:$M$150,3,FALSE))</f>
        <v>4.75</v>
      </c>
      <c r="N255" s="40">
        <f>IF(E255="","",VLOOKUP(E255,'Base Datos'!$A$2:$M$150,4,FALSE))</f>
        <v>752</v>
      </c>
      <c r="O255" s="40">
        <f>IF(E255="","",VLOOKUP(E255,'Base Datos'!$A$2:$M$150,5,FALSE))</f>
        <v>38</v>
      </c>
      <c r="P255" s="40">
        <f>IF(E255="","",VLOOKUP(E255,'Base Datos'!$A$2:$M$150,6,FALSE))</f>
        <v>758</v>
      </c>
      <c r="Q255" s="40">
        <f>IF(E255="","",VLOOKUP(E255,'Base Datos'!$A$2:$M$150,7,FALSE))</f>
        <v>8</v>
      </c>
      <c r="R255" s="40">
        <f>IF(E255="","",VLOOKUP(E255,'Base Datos'!$A$2:$M$150,8,FALSE))</f>
        <v>2.8</v>
      </c>
      <c r="S255" s="40" t="str">
        <f>IF(E255="","",VLOOKUP(E255,'Base Datos'!$A$2:$M$150,9,FALSE))</f>
        <v>PP</v>
      </c>
      <c r="T255" s="97">
        <f>IF(E255="","",(H255*I255)-(J255+K255))</f>
        <v>5304</v>
      </c>
      <c r="U255" s="98">
        <f>IF(E255="","",(H255*R255)/1000)</f>
        <v>2.4751999999999996</v>
      </c>
      <c r="V255" s="123">
        <f>IF(G255="",0,(G255*H255)/3600)</f>
        <v>7.612222222222222</v>
      </c>
      <c r="W255" s="45">
        <f>IFERROR(IF(E255="","",(H255/P255)),0)</f>
        <v>1.1662269129287599</v>
      </c>
      <c r="X255" s="94">
        <f>WEEKDAY(A255,1)</f>
        <v>4</v>
      </c>
      <c r="Y255" s="120">
        <f>MONTH(A255)</f>
        <v>7</v>
      </c>
      <c r="Z255" s="125">
        <f>WEEKNUM(A255)-WEEKNUM(DATE(YEAR(A255),MONTH(A255),1))+1</f>
        <v>2</v>
      </c>
      <c r="AA255" s="126">
        <f>IF(V255="",0,V255/8)</f>
        <v>0.95152777777777775</v>
      </c>
      <c r="AB255" s="125">
        <f>IF(E255="02PZ03405",0,1)</f>
        <v>1</v>
      </c>
    </row>
    <row r="256" spans="1:28" x14ac:dyDescent="0.2">
      <c r="A256" s="148">
        <v>44746</v>
      </c>
      <c r="B256" s="96" t="s">
        <v>34</v>
      </c>
      <c r="C256" s="96" t="s">
        <v>35</v>
      </c>
      <c r="D256" s="38">
        <v>4</v>
      </c>
      <c r="E256" s="39" t="s">
        <v>46</v>
      </c>
      <c r="F256" s="95" t="str">
        <f>IF(E256="","",VLOOKUP(E256,'Base Datos'!$A$2:$M$150,2,FALSE))</f>
        <v>Marco superior pico transparente</v>
      </c>
      <c r="G256" s="99">
        <v>31.1</v>
      </c>
      <c r="H256" s="99">
        <v>837</v>
      </c>
      <c r="I256" s="99">
        <v>6</v>
      </c>
      <c r="J256" s="99"/>
      <c r="K256" s="39">
        <v>150</v>
      </c>
      <c r="L256" s="39">
        <v>183471</v>
      </c>
      <c r="M256" s="97">
        <f>IF(E256="","",VLOOKUP(E256,'Base Datos'!$A$2:$M$150,3,FALSE))</f>
        <v>4.75</v>
      </c>
      <c r="N256" s="40">
        <f>IF(E256="","",VLOOKUP(E256,'Base Datos'!$A$2:$M$150,4,FALSE))</f>
        <v>752</v>
      </c>
      <c r="O256" s="40">
        <f>IF(E256="","",VLOOKUP(E256,'Base Datos'!$A$2:$M$150,5,FALSE))</f>
        <v>38</v>
      </c>
      <c r="P256" s="40">
        <f>IF(E256="","",VLOOKUP(E256,'Base Datos'!$A$2:$M$150,6,FALSE))</f>
        <v>758</v>
      </c>
      <c r="Q256" s="40">
        <f>IF(E256="","",VLOOKUP(E256,'Base Datos'!$A$2:$M$150,7,FALSE))</f>
        <v>8</v>
      </c>
      <c r="R256" s="40">
        <f>IF(E256="","",VLOOKUP(E256,'Base Datos'!$A$2:$M$150,8,FALSE))</f>
        <v>2.8</v>
      </c>
      <c r="S256" s="40" t="str">
        <f>IF(E256="","",VLOOKUP(E256,'Base Datos'!$A$2:$M$150,9,FALSE))</f>
        <v>PP</v>
      </c>
      <c r="T256" s="97">
        <f>IF(E256="","",(H256*I256)-(J256+K256))</f>
        <v>4872</v>
      </c>
      <c r="U256" s="98">
        <f>IF(E256="","",(H256*R256)/1000)</f>
        <v>2.3435999999999999</v>
      </c>
      <c r="V256" s="123">
        <f>IF(G256="",0,(G256*H256)/3600)</f>
        <v>7.2307500000000005</v>
      </c>
      <c r="W256" s="45">
        <f>IFERROR(IF(E256="","",(H256/P256)),0)</f>
        <v>1.104221635883905</v>
      </c>
      <c r="X256" s="94">
        <f>WEEKDAY(A256,1)</f>
        <v>2</v>
      </c>
      <c r="Y256" s="120">
        <f>MONTH(A256)</f>
        <v>7</v>
      </c>
      <c r="Z256" s="125">
        <f>WEEKNUM(A256)-WEEKNUM(DATE(YEAR(A256),MONTH(A256),1))+1</f>
        <v>2</v>
      </c>
      <c r="AA256" s="126">
        <f>IF(V256="",0,V256/8)</f>
        <v>0.90384375000000006</v>
      </c>
      <c r="AB256" s="125">
        <f>IF(E256="02PZ03405",0,1)</f>
        <v>1</v>
      </c>
    </row>
    <row r="257" spans="1:28" x14ac:dyDescent="0.2">
      <c r="A257" s="148">
        <v>44743</v>
      </c>
      <c r="B257" s="96" t="s">
        <v>34</v>
      </c>
      <c r="C257" s="96" t="s">
        <v>35</v>
      </c>
      <c r="D257" s="38">
        <v>4</v>
      </c>
      <c r="E257" s="39" t="s">
        <v>46</v>
      </c>
      <c r="F257" s="95" t="str">
        <f>IF(E257="","",VLOOKUP(E257,'Base Datos'!$A$2:$M$150,2,FALSE))</f>
        <v>Marco superior pico transparente</v>
      </c>
      <c r="G257" s="99">
        <v>31</v>
      </c>
      <c r="H257" s="99">
        <v>867</v>
      </c>
      <c r="I257" s="99">
        <v>6</v>
      </c>
      <c r="J257" s="99"/>
      <c r="K257" s="39">
        <v>150</v>
      </c>
      <c r="L257" s="39">
        <v>184119</v>
      </c>
      <c r="M257" s="97">
        <f>IF(E257="","",VLOOKUP(E257,'Base Datos'!$A$2:$M$150,3,FALSE))</f>
        <v>4.75</v>
      </c>
      <c r="N257" s="40">
        <f>IF(E257="","",VLOOKUP(E257,'Base Datos'!$A$2:$M$150,4,FALSE))</f>
        <v>752</v>
      </c>
      <c r="O257" s="40">
        <f>IF(E257="","",VLOOKUP(E257,'Base Datos'!$A$2:$M$150,5,FALSE))</f>
        <v>38</v>
      </c>
      <c r="P257" s="40">
        <f>IF(E257="","",VLOOKUP(E257,'Base Datos'!$A$2:$M$150,6,FALSE))</f>
        <v>758</v>
      </c>
      <c r="Q257" s="40">
        <f>IF(E257="","",VLOOKUP(E257,'Base Datos'!$A$2:$M$150,7,FALSE))</f>
        <v>8</v>
      </c>
      <c r="R257" s="40">
        <f>IF(E257="","",VLOOKUP(E257,'Base Datos'!$A$2:$M$150,8,FALSE))</f>
        <v>2.8</v>
      </c>
      <c r="S257" s="40" t="str">
        <f>IF(E257="","",VLOOKUP(E257,'Base Datos'!$A$2:$M$150,9,FALSE))</f>
        <v>PP</v>
      </c>
      <c r="T257" s="97">
        <f>IF(E257="","",(H257*I257)-(J257+K257))</f>
        <v>5052</v>
      </c>
      <c r="U257" s="98">
        <f>IF(E257="","",(H257*R257)/1000)</f>
        <v>2.4276</v>
      </c>
      <c r="V257" s="123">
        <f>IF(G257="",0,(G257*H257)/3600)</f>
        <v>7.4658333333333333</v>
      </c>
      <c r="W257" s="45">
        <f>IFERROR(IF(E257="","",(H257/P257)),0)</f>
        <v>1.1437994722955145</v>
      </c>
      <c r="X257" s="94">
        <f>WEEKDAY(A257,1)</f>
        <v>6</v>
      </c>
      <c r="Y257" s="120">
        <f>MONTH(A257)</f>
        <v>7</v>
      </c>
      <c r="Z257" s="125">
        <f>WEEKNUM(A257)-WEEKNUM(DATE(YEAR(A257),MONTH(A257),1))+1</f>
        <v>1</v>
      </c>
      <c r="AA257" s="126">
        <f>IF(V257="",0,V257/8)</f>
        <v>0.93322916666666667</v>
      </c>
      <c r="AB257" s="125">
        <f>IF(E257="02PZ03405",0,1)</f>
        <v>1</v>
      </c>
    </row>
    <row r="258" spans="1:28" x14ac:dyDescent="0.2">
      <c r="A258" s="37">
        <v>44747</v>
      </c>
      <c r="B258" s="119" t="s">
        <v>86</v>
      </c>
      <c r="C258" s="31" t="s">
        <v>91</v>
      </c>
      <c r="D258" s="38">
        <v>4</v>
      </c>
      <c r="E258" s="39" t="s">
        <v>46</v>
      </c>
      <c r="F258" s="33" t="str">
        <f>IF(E258="","",VLOOKUP(E258,'Base Datos'!$A$2:$M$150,2,FALSE))</f>
        <v>Marco superior pico transparente</v>
      </c>
      <c r="G258" s="99">
        <v>31</v>
      </c>
      <c r="H258" s="102">
        <v>851</v>
      </c>
      <c r="I258" s="32">
        <v>6</v>
      </c>
      <c r="J258" s="32"/>
      <c r="K258" s="31"/>
      <c r="L258" s="39">
        <v>183471</v>
      </c>
      <c r="M258" s="33">
        <f>IF(E258="","",VLOOKUP(E258,'Base Datos'!$A$2:$M$150,3,FALSE))</f>
        <v>4.75</v>
      </c>
      <c r="N258" s="23">
        <f>IF(E258="","",VLOOKUP(E258,'Base Datos'!$A$2:$M$150,4,FALSE))</f>
        <v>752</v>
      </c>
      <c r="O258" s="23">
        <f>IF(E258="","",VLOOKUP(E258,'Base Datos'!$A$2:$M$150,5,FALSE))</f>
        <v>38</v>
      </c>
      <c r="P258" s="23">
        <f>IF(E258="","",VLOOKUP(E258,'Base Datos'!$A$2:$M$150,6,FALSE))</f>
        <v>758</v>
      </c>
      <c r="Q258" s="23">
        <f>IF(E258="","",VLOOKUP(E258,'Base Datos'!$A$2:$M$150,7,FALSE))</f>
        <v>8</v>
      </c>
      <c r="R258" s="40">
        <f>IF(E258="","",VLOOKUP(E258,'Base Datos'!$A$2:$M$150,8,FALSE))</f>
        <v>2.8</v>
      </c>
      <c r="S258" s="40" t="str">
        <f>IF(E258="","",VLOOKUP(E258,'Base Datos'!$A$2:$M$150,9,FALSE))</f>
        <v>PP</v>
      </c>
      <c r="T258" s="33">
        <f>IF(E258="","",(H258*I258)-(J258+K258))</f>
        <v>5106</v>
      </c>
      <c r="U258" s="33">
        <f>IF(E258="","",(I258*R258)/1000)</f>
        <v>1.6799999999999995E-2</v>
      </c>
      <c r="V258" s="123">
        <f>IF(G258="",0,(G258*H258)/3600)</f>
        <v>7.3280555555555553</v>
      </c>
      <c r="W258" s="45">
        <f>IFERROR(IF(E258="","",(H258/P258)),0)</f>
        <v>1.1226912928759893</v>
      </c>
      <c r="X258" s="94">
        <f>WEEKDAY(A258,1)</f>
        <v>3</v>
      </c>
      <c r="Y258" s="120">
        <f>MONTH(A258)</f>
        <v>7</v>
      </c>
      <c r="Z258" s="125">
        <f>WEEKNUM(A258)-WEEKNUM(DATE(YEAR(A258),MONTH(A258),1))+1</f>
        <v>2</v>
      </c>
      <c r="AA258" s="126">
        <f>IF(V258="",0,V258/8)</f>
        <v>0.91600694444444442</v>
      </c>
      <c r="AB258" s="125">
        <f>IF(E258="02PZ03405",0,1)</f>
        <v>1</v>
      </c>
    </row>
    <row r="259" spans="1:28" x14ac:dyDescent="0.2">
      <c r="A259" s="101">
        <v>44748</v>
      </c>
      <c r="B259" s="96" t="s">
        <v>86</v>
      </c>
      <c r="C259" s="96" t="s">
        <v>91</v>
      </c>
      <c r="D259" s="38">
        <v>4</v>
      </c>
      <c r="E259" s="39" t="s">
        <v>46</v>
      </c>
      <c r="F259" s="95" t="str">
        <f>IF(E259="","",VLOOKUP(E259,'Base Datos'!$A$2:$M$150,2,FALSE))</f>
        <v>Marco superior pico transparente</v>
      </c>
      <c r="G259" s="99">
        <v>31</v>
      </c>
      <c r="H259" s="99">
        <v>847</v>
      </c>
      <c r="I259" s="99">
        <v>1</v>
      </c>
      <c r="J259" s="99"/>
      <c r="K259" s="39"/>
      <c r="L259" s="39">
        <v>183471</v>
      </c>
      <c r="M259" s="97">
        <f>IF(E259="","",VLOOKUP(E259,'Base Datos'!$A$2:$M$150,3,FALSE))</f>
        <v>4.75</v>
      </c>
      <c r="N259" s="40">
        <f>IF(E259="","",VLOOKUP(E259,'Base Datos'!$A$2:$M$150,4,FALSE))</f>
        <v>752</v>
      </c>
      <c r="O259" s="40">
        <f>IF(E259="","",VLOOKUP(E259,'Base Datos'!$A$2:$M$150,5,FALSE))</f>
        <v>38</v>
      </c>
      <c r="P259" s="40">
        <f>IF(E259="","",VLOOKUP(E259,'Base Datos'!$A$2:$M$150,6,FALSE))</f>
        <v>758</v>
      </c>
      <c r="Q259" s="40">
        <f>IF(E259="","",VLOOKUP(E259,'Base Datos'!$A$2:$M$150,7,FALSE))</f>
        <v>8</v>
      </c>
      <c r="R259" s="40">
        <f>IF(E259="","",VLOOKUP(E259,'Base Datos'!$A$2:$M$150,8,FALSE))</f>
        <v>2.8</v>
      </c>
      <c r="S259" s="40" t="str">
        <f>IF(E259="","",VLOOKUP(E259,'Base Datos'!$A$2:$M$150,9,FALSE))</f>
        <v>PP</v>
      </c>
      <c r="T259" s="97">
        <f>IF(E259="","",(H259*I259)-(J259+K259))</f>
        <v>847</v>
      </c>
      <c r="U259" s="98">
        <f>IF(E259="","",(H259*R259)/1000)</f>
        <v>2.3715999999999999</v>
      </c>
      <c r="V259" s="123">
        <f>IF(G259="",0,(G259*H259)/3600)</f>
        <v>7.2936111111111108</v>
      </c>
      <c r="W259" s="45">
        <f>IFERROR(IF(E259="","",(H259/P259)),0)</f>
        <v>1.1174142480211082</v>
      </c>
      <c r="X259" s="94">
        <f>WEEKDAY(A259,1)</f>
        <v>4</v>
      </c>
      <c r="Y259" s="120">
        <f>MONTH(A259)</f>
        <v>7</v>
      </c>
      <c r="Z259" s="125">
        <f>WEEKNUM(A259)-WEEKNUM(DATE(YEAR(A259),MONTH(A259),1))+1</f>
        <v>2</v>
      </c>
      <c r="AA259" s="126">
        <f>IF(V259="",0,V259/8)</f>
        <v>0.91170138888888885</v>
      </c>
      <c r="AB259" s="125">
        <f>IF(E259="02PZ03405",0,1)</f>
        <v>1</v>
      </c>
    </row>
    <row r="260" spans="1:28" x14ac:dyDescent="0.2">
      <c r="A260" s="37">
        <v>44774</v>
      </c>
      <c r="B260" s="31" t="s">
        <v>86</v>
      </c>
      <c r="C260" s="31" t="s">
        <v>90</v>
      </c>
      <c r="D260" s="38">
        <v>4</v>
      </c>
      <c r="E260" s="39" t="s">
        <v>46</v>
      </c>
      <c r="F260" s="33" t="str">
        <f>IF(E260="","",VLOOKUP(E260,'Base Datos'!$A$2:$M$150,2,FALSE))</f>
        <v>Marco superior pico transparente</v>
      </c>
      <c r="G260" s="99">
        <v>29.5</v>
      </c>
      <c r="H260" s="102">
        <v>880</v>
      </c>
      <c r="I260" s="32">
        <v>6</v>
      </c>
      <c r="J260" s="32">
        <v>0</v>
      </c>
      <c r="K260" s="31">
        <v>0</v>
      </c>
      <c r="L260" s="39">
        <v>184975</v>
      </c>
      <c r="M260" s="33">
        <f>IF(E260="","",VLOOKUP(E260,'Base Datos'!$A$2:$M$150,3,FALSE))</f>
        <v>4.75</v>
      </c>
      <c r="N260" s="23">
        <f>IF(E260="","",VLOOKUP(E260,'Base Datos'!$A$2:$M$150,4,FALSE))</f>
        <v>752</v>
      </c>
      <c r="O260" s="23">
        <f>IF(E260="","",VLOOKUP(E260,'Base Datos'!$A$2:$M$150,5,FALSE))</f>
        <v>38</v>
      </c>
      <c r="P260" s="23">
        <f>IF(E260="","",VLOOKUP(E260,'Base Datos'!$A$2:$M$150,6,FALSE))</f>
        <v>758</v>
      </c>
      <c r="Q260" s="23">
        <f>IF(E260="","",VLOOKUP(E260,'Base Datos'!$A$2:$M$150,7,FALSE))</f>
        <v>8</v>
      </c>
      <c r="R260" s="40">
        <f>IF(E260="","",VLOOKUP(E260,'Base Datos'!$A$2:$M$150,8,FALSE))</f>
        <v>2.8</v>
      </c>
      <c r="S260" s="40" t="str">
        <f>IF(E260="","",VLOOKUP(E260,'Base Datos'!$A$2:$M$150,9,FALSE))</f>
        <v>PP</v>
      </c>
      <c r="T260" s="33">
        <f>IF(E260="","",(H260*I260)-(J260+K260))</f>
        <v>5280</v>
      </c>
      <c r="U260" s="33">
        <f>IF(E260="","",(I260*R260)/1000)</f>
        <v>1.6799999999999995E-2</v>
      </c>
      <c r="V260" s="123">
        <f>IF(G260="",0,(G260*H260)/3600)</f>
        <v>7.2111111111111112</v>
      </c>
      <c r="W260" s="45">
        <f>IFERROR(IF(E260="","",(H260/P260)),0)</f>
        <v>1.1609498680738786</v>
      </c>
      <c r="X260" s="94">
        <f>WEEKDAY(A260,1)</f>
        <v>2</v>
      </c>
      <c r="Y260" s="120">
        <f>MONTH(A260)</f>
        <v>8</v>
      </c>
      <c r="Z260" s="125">
        <f>WEEKNUM(A260)-WEEKNUM(DATE(YEAR(A260),MONTH(A260),1))+1</f>
        <v>1</v>
      </c>
      <c r="AA260" s="126">
        <f>IF(V260="",0,V260/8)</f>
        <v>0.90138888888888891</v>
      </c>
      <c r="AB260" s="125">
        <f>IF(E260="02PZ03405",0,1)</f>
        <v>1</v>
      </c>
    </row>
    <row r="261" spans="1:28" x14ac:dyDescent="0.2">
      <c r="A261" s="148">
        <v>44743</v>
      </c>
      <c r="B261" s="96" t="s">
        <v>86</v>
      </c>
      <c r="C261" s="96" t="s">
        <v>90</v>
      </c>
      <c r="D261" s="38">
        <v>4</v>
      </c>
      <c r="E261" s="39" t="s">
        <v>46</v>
      </c>
      <c r="F261" s="95" t="str">
        <f>IF(E261="","",VLOOKUP(E261,'Base Datos'!$A$2:$M$150,2,FALSE))</f>
        <v>Marco superior pico transparente</v>
      </c>
      <c r="G261" s="99">
        <v>31.1</v>
      </c>
      <c r="H261" s="99">
        <v>687</v>
      </c>
      <c r="I261" s="99">
        <v>6</v>
      </c>
      <c r="J261" s="99"/>
      <c r="K261" s="39">
        <v>100</v>
      </c>
      <c r="L261" s="39">
        <v>184119</v>
      </c>
      <c r="M261" s="97">
        <f>IF(E261="","",VLOOKUP(E261,'Base Datos'!$A$2:$M$150,3,FALSE))</f>
        <v>4.75</v>
      </c>
      <c r="N261" s="40">
        <f>IF(E261="","",VLOOKUP(E261,'Base Datos'!$A$2:$M$150,4,FALSE))</f>
        <v>752</v>
      </c>
      <c r="O261" s="40">
        <f>IF(E261="","",VLOOKUP(E261,'Base Datos'!$A$2:$M$150,5,FALSE))</f>
        <v>38</v>
      </c>
      <c r="P261" s="40">
        <f>IF(E261="","",VLOOKUP(E261,'Base Datos'!$A$2:$M$150,6,FALSE))</f>
        <v>758</v>
      </c>
      <c r="Q261" s="40">
        <f>IF(E261="","",VLOOKUP(E261,'Base Datos'!$A$2:$M$150,7,FALSE))</f>
        <v>8</v>
      </c>
      <c r="R261" s="40">
        <f>IF(E261="","",VLOOKUP(E261,'Base Datos'!$A$2:$M$150,8,FALSE))</f>
        <v>2.8</v>
      </c>
      <c r="S261" s="40" t="str">
        <f>IF(E261="","",VLOOKUP(E261,'Base Datos'!$A$2:$M$150,9,FALSE))</f>
        <v>PP</v>
      </c>
      <c r="T261" s="97">
        <f>IF(E261="","",(H261*I261)-(J261+K261))</f>
        <v>4022</v>
      </c>
      <c r="U261" s="98">
        <f>IF(E261="","",(H261*R261)/1000)</f>
        <v>1.9236</v>
      </c>
      <c r="V261" s="123">
        <f>IF(G261="",0,(G261*H261)/3600)</f>
        <v>5.9349166666666671</v>
      </c>
      <c r="W261" s="45">
        <f>IFERROR(IF(E261="","",(H261/P261)),0)</f>
        <v>0.90633245382585748</v>
      </c>
      <c r="X261" s="94">
        <f>WEEKDAY(A261,1)</f>
        <v>6</v>
      </c>
      <c r="Y261" s="120">
        <f>MONTH(A261)</f>
        <v>7</v>
      </c>
      <c r="Z261" s="125">
        <f>WEEKNUM(A261)-WEEKNUM(DATE(YEAR(A261),MONTH(A261),1))+1</f>
        <v>1</v>
      </c>
      <c r="AA261" s="126">
        <f>IF(V261="",0,V261/8)</f>
        <v>0.74186458333333338</v>
      </c>
      <c r="AB261" s="125">
        <f>IF(E261="02PZ03405",0,1)</f>
        <v>1</v>
      </c>
    </row>
    <row r="262" spans="1:28" x14ac:dyDescent="0.2">
      <c r="A262" s="37">
        <v>44775</v>
      </c>
      <c r="B262" s="31" t="s">
        <v>34</v>
      </c>
      <c r="C262" s="31" t="s">
        <v>88</v>
      </c>
      <c r="D262" s="38">
        <v>4</v>
      </c>
      <c r="E262" s="39" t="s">
        <v>46</v>
      </c>
      <c r="F262" s="33" t="str">
        <f>IF(E262="","",VLOOKUP(E262,'Base Datos'!$A$2:$M$150,2,FALSE))</f>
        <v>Marco superior pico transparente</v>
      </c>
      <c r="G262" s="99">
        <v>40</v>
      </c>
      <c r="H262" s="102">
        <v>630</v>
      </c>
      <c r="I262" s="32">
        <v>6</v>
      </c>
      <c r="J262" s="32"/>
      <c r="K262" s="31"/>
      <c r="L262" s="39">
        <v>184975</v>
      </c>
      <c r="M262" s="33">
        <f>IF(E262="","",VLOOKUP(E262,'Base Datos'!$A$2:$M$150,3,FALSE))</f>
        <v>4.75</v>
      </c>
      <c r="N262" s="23">
        <f>IF(E262="","",VLOOKUP(E262,'Base Datos'!$A$2:$M$150,4,FALSE))</f>
        <v>752</v>
      </c>
      <c r="O262" s="23">
        <f>IF(E262="","",VLOOKUP(E262,'Base Datos'!$A$2:$M$150,5,FALSE))</f>
        <v>38</v>
      </c>
      <c r="P262" s="23">
        <f>IF(E262="","",VLOOKUP(E262,'Base Datos'!$A$2:$M$150,6,FALSE))</f>
        <v>758</v>
      </c>
      <c r="Q262" s="23">
        <f>IF(E262="","",VLOOKUP(E262,'Base Datos'!$A$2:$M$150,7,FALSE))</f>
        <v>8</v>
      </c>
      <c r="R262" s="40">
        <f>IF(E262="","",VLOOKUP(E262,'Base Datos'!$A$2:$M$150,8,FALSE))</f>
        <v>2.8</v>
      </c>
      <c r="S262" s="40" t="str">
        <f>IF(E262="","",VLOOKUP(E262,'Base Datos'!$A$2:$M$150,9,FALSE))</f>
        <v>PP</v>
      </c>
      <c r="T262" s="33">
        <f>IF(E262="","",(H262*I262)-(J262+K262))</f>
        <v>3780</v>
      </c>
      <c r="U262" s="33">
        <f>IF(E262="","",(I262*R262)/1000)</f>
        <v>1.6799999999999995E-2</v>
      </c>
      <c r="V262" s="123">
        <f>IF(G262="",0,(G262*H262)/3600)</f>
        <v>7</v>
      </c>
      <c r="W262" s="45">
        <f>IFERROR(IF(E262="","",(H262/P262)),0)</f>
        <v>0.83113456464379942</v>
      </c>
      <c r="X262" s="94">
        <f>WEEKDAY(A262,1)</f>
        <v>3</v>
      </c>
      <c r="Y262" s="120">
        <f>MONTH(A262)</f>
        <v>8</v>
      </c>
      <c r="Z262" s="125">
        <f>WEEKNUM(A262)-WEEKNUM(DATE(YEAR(A262),MONTH(A262),1))+1</f>
        <v>1</v>
      </c>
      <c r="AA262" s="126">
        <f>IF(V262="",0,V262/8)</f>
        <v>0.875</v>
      </c>
      <c r="AB262" s="125">
        <f>IF(E262="02PZ03405",0,1)</f>
        <v>1</v>
      </c>
    </row>
    <row r="263" spans="1:28" x14ac:dyDescent="0.2">
      <c r="A263" s="37">
        <v>44770</v>
      </c>
      <c r="B263" s="31" t="s">
        <v>87</v>
      </c>
      <c r="C263" s="31" t="s">
        <v>92</v>
      </c>
      <c r="D263" s="38">
        <v>4</v>
      </c>
      <c r="E263" s="39" t="s">
        <v>69</v>
      </c>
      <c r="F263" s="33" t="str">
        <f>IF(E263="","",VLOOKUP(E263,'Base Datos'!$A$2:$M$150,2,FALSE))</f>
        <v>Marco superior pico NEGRO</v>
      </c>
      <c r="G263" s="99">
        <v>38</v>
      </c>
      <c r="H263" s="102">
        <v>1043</v>
      </c>
      <c r="I263" s="32">
        <v>6</v>
      </c>
      <c r="J263" s="32"/>
      <c r="K263" s="31">
        <v>0</v>
      </c>
      <c r="L263" s="39">
        <v>184975</v>
      </c>
      <c r="M263" s="33">
        <f>IF(E263="","",VLOOKUP(E263,'Base Datos'!$A$2:$M$150,3,FALSE))</f>
        <v>4.75</v>
      </c>
      <c r="N263" s="23">
        <f>IF(E263="","",VLOOKUP(E263,'Base Datos'!$A$2:$M$150,4,FALSE))</f>
        <v>752</v>
      </c>
      <c r="O263" s="23">
        <f>IF(E263="","",VLOOKUP(E263,'Base Datos'!$A$2:$M$150,5,FALSE))</f>
        <v>38</v>
      </c>
      <c r="P263" s="23">
        <f>IF(E263="","",VLOOKUP(E263,'Base Datos'!$A$2:$M$150,6,FALSE))</f>
        <v>758</v>
      </c>
      <c r="Q263" s="23">
        <f>IF(E263="","",VLOOKUP(E263,'Base Datos'!$A$2:$M$150,7,FALSE))</f>
        <v>8</v>
      </c>
      <c r="R263" s="40">
        <f>IF(E263="","",VLOOKUP(E263,'Base Datos'!$A$2:$M$150,8,FALSE))</f>
        <v>2.8</v>
      </c>
      <c r="S263" s="40" t="str">
        <f>IF(E263="","",VLOOKUP(E263,'Base Datos'!$A$2:$M$150,9,FALSE))</f>
        <v>PP</v>
      </c>
      <c r="T263" s="33">
        <f>IF(E263="","",(H263*I263)-(J263+K263))</f>
        <v>6258</v>
      </c>
      <c r="U263" s="33">
        <f>IF(E263="","",(I263*R263)/1000)</f>
        <v>1.6799999999999995E-2</v>
      </c>
      <c r="V263" s="123">
        <f>IF(G263="",0,(G263*H263)/3600)</f>
        <v>11.009444444444444</v>
      </c>
      <c r="W263" s="45">
        <f>IFERROR(IF(E263="","",(H263/P263)),0)</f>
        <v>1.3759894459102902</v>
      </c>
      <c r="X263" s="94">
        <f>WEEKDAY(A263,1)</f>
        <v>5</v>
      </c>
      <c r="Y263" s="120">
        <f>MONTH(A263)</f>
        <v>7</v>
      </c>
      <c r="Z263" s="125">
        <f>WEEKNUM(A263)-WEEKNUM(DATE(YEAR(A263),MONTH(A263),1))+1</f>
        <v>5</v>
      </c>
      <c r="AA263" s="126">
        <f>IF(V263="",0,V263/8)</f>
        <v>1.3761805555555555</v>
      </c>
      <c r="AB263" s="125">
        <f>IF(E263="02PZ03405",0,1)</f>
        <v>1</v>
      </c>
    </row>
    <row r="264" spans="1:28" x14ac:dyDescent="0.2">
      <c r="A264" s="37">
        <v>44769</v>
      </c>
      <c r="B264" s="31" t="s">
        <v>87</v>
      </c>
      <c r="C264" s="31" t="s">
        <v>92</v>
      </c>
      <c r="D264" s="38">
        <v>4</v>
      </c>
      <c r="E264" s="39" t="s">
        <v>69</v>
      </c>
      <c r="F264" s="33" t="str">
        <f>IF(E264="","",VLOOKUP(E264,'Base Datos'!$A$2:$M$150,2,FALSE))</f>
        <v>Marco superior pico NEGRO</v>
      </c>
      <c r="G264" s="99">
        <v>41</v>
      </c>
      <c r="H264" s="102">
        <v>270</v>
      </c>
      <c r="I264" s="32">
        <v>6</v>
      </c>
      <c r="J264" s="32"/>
      <c r="K264" s="31">
        <v>0</v>
      </c>
      <c r="L264" s="39">
        <v>184975</v>
      </c>
      <c r="M264" s="33">
        <f>IF(E264="","",VLOOKUP(E264,'Base Datos'!$A$2:$M$150,3,FALSE))</f>
        <v>4.75</v>
      </c>
      <c r="N264" s="23">
        <f>IF(E264="","",VLOOKUP(E264,'Base Datos'!$A$2:$M$150,4,FALSE))</f>
        <v>752</v>
      </c>
      <c r="O264" s="23">
        <f>IF(E264="","",VLOOKUP(E264,'Base Datos'!$A$2:$M$150,5,FALSE))</f>
        <v>38</v>
      </c>
      <c r="P264" s="23">
        <f>IF(E264="","",VLOOKUP(E264,'Base Datos'!$A$2:$M$150,6,FALSE))</f>
        <v>758</v>
      </c>
      <c r="Q264" s="23">
        <f>IF(E264="","",VLOOKUP(E264,'Base Datos'!$A$2:$M$150,7,FALSE))</f>
        <v>8</v>
      </c>
      <c r="R264" s="40">
        <f>IF(E264="","",VLOOKUP(E264,'Base Datos'!$A$2:$M$150,8,FALSE))</f>
        <v>2.8</v>
      </c>
      <c r="S264" s="40" t="str">
        <f>IF(E264="","",VLOOKUP(E264,'Base Datos'!$A$2:$M$150,9,FALSE))</f>
        <v>PP</v>
      </c>
      <c r="T264" s="33">
        <f>IF(E264="","",(H264*I264)-(J264+K264))</f>
        <v>1620</v>
      </c>
      <c r="U264" s="33">
        <f>IF(E264="","",(I264*R264)/1000)</f>
        <v>1.6799999999999995E-2</v>
      </c>
      <c r="V264" s="123">
        <f>IF(G264="",0,(G264*H264)/3600)</f>
        <v>3.0750000000000002</v>
      </c>
      <c r="W264" s="45">
        <f>IFERROR(IF(E264="","",(H264/P264)),0)</f>
        <v>0.35620052770448551</v>
      </c>
      <c r="X264" s="94">
        <f>WEEKDAY(A264,1)</f>
        <v>4</v>
      </c>
      <c r="Y264" s="120">
        <f>MONTH(A264)</f>
        <v>7</v>
      </c>
      <c r="Z264" s="125">
        <f>WEEKNUM(A264)-WEEKNUM(DATE(YEAR(A264),MONTH(A264),1))+1</f>
        <v>5</v>
      </c>
      <c r="AA264" s="126">
        <f>IF(V264="",0,V264/8)</f>
        <v>0.38437500000000002</v>
      </c>
      <c r="AB264" s="125">
        <f>IF(E264="02PZ03405",0,1)</f>
        <v>1</v>
      </c>
    </row>
    <row r="265" spans="1:28" x14ac:dyDescent="0.2">
      <c r="A265" s="37">
        <v>44770</v>
      </c>
      <c r="B265" s="31" t="s">
        <v>86</v>
      </c>
      <c r="C265" s="31" t="s">
        <v>90</v>
      </c>
      <c r="D265" s="38">
        <v>4</v>
      </c>
      <c r="E265" s="39" t="s">
        <v>69</v>
      </c>
      <c r="F265" s="33" t="str">
        <f>IF(E265="","",VLOOKUP(E265,'Base Datos'!$A$2:$M$150,2,FALSE))</f>
        <v>Marco superior pico NEGRO</v>
      </c>
      <c r="G265" s="99">
        <v>37</v>
      </c>
      <c r="H265" s="102">
        <v>371</v>
      </c>
      <c r="I265" s="32">
        <v>6</v>
      </c>
      <c r="J265" s="32"/>
      <c r="K265" s="31"/>
      <c r="L265" s="39">
        <v>184975</v>
      </c>
      <c r="M265" s="33">
        <f>IF(E265="","",VLOOKUP(E265,'Base Datos'!$A$2:$M$150,3,FALSE))</f>
        <v>4.75</v>
      </c>
      <c r="N265" s="23">
        <f>IF(E265="","",VLOOKUP(E265,'Base Datos'!$A$2:$M$150,4,FALSE))</f>
        <v>752</v>
      </c>
      <c r="O265" s="23">
        <f>IF(E265="","",VLOOKUP(E265,'Base Datos'!$A$2:$M$150,5,FALSE))</f>
        <v>38</v>
      </c>
      <c r="P265" s="23">
        <f>IF(E265="","",VLOOKUP(E265,'Base Datos'!$A$2:$M$150,6,FALSE))</f>
        <v>758</v>
      </c>
      <c r="Q265" s="23">
        <f>IF(E265="","",VLOOKUP(E265,'Base Datos'!$A$2:$M$150,7,FALSE))</f>
        <v>8</v>
      </c>
      <c r="R265" s="40">
        <f>IF(E265="","",VLOOKUP(E265,'Base Datos'!$A$2:$M$150,8,FALSE))</f>
        <v>2.8</v>
      </c>
      <c r="S265" s="40" t="str">
        <f>IF(E265="","",VLOOKUP(E265,'Base Datos'!$A$2:$M$150,9,FALSE))</f>
        <v>PP</v>
      </c>
      <c r="T265" s="33">
        <f>IF(E265="","",(H265*I265)-(J265+K265))</f>
        <v>2226</v>
      </c>
      <c r="U265" s="33">
        <f>IF(E265="","",(I265*R265)/1000)</f>
        <v>1.6799999999999995E-2</v>
      </c>
      <c r="V265" s="123">
        <f>IF(G265="",0,(G265*H265)/3600)</f>
        <v>3.8130555555555556</v>
      </c>
      <c r="W265" s="45">
        <f>IFERROR(IF(E265="","",(H265/P265)),0)</f>
        <v>0.48944591029023748</v>
      </c>
      <c r="X265" s="94">
        <f>WEEKDAY(A265,1)</f>
        <v>5</v>
      </c>
      <c r="Y265" s="120">
        <f>MONTH(A265)</f>
        <v>7</v>
      </c>
      <c r="Z265" s="125">
        <f>WEEKNUM(A265)-WEEKNUM(DATE(YEAR(A265),MONTH(A265),1))+1</f>
        <v>5</v>
      </c>
      <c r="AA265" s="126">
        <f>IF(V265="",0,V265/8)</f>
        <v>0.47663194444444446</v>
      </c>
      <c r="AB265" s="125">
        <f>IF(E265="02PZ03405",0,1)</f>
        <v>1</v>
      </c>
    </row>
    <row r="266" spans="1:28" x14ac:dyDescent="0.2">
      <c r="A266" s="37">
        <v>44764</v>
      </c>
      <c r="B266" s="31" t="s">
        <v>87</v>
      </c>
      <c r="C266" s="31" t="s">
        <v>92</v>
      </c>
      <c r="D266" s="38">
        <v>4</v>
      </c>
      <c r="E266" s="39" t="s">
        <v>49</v>
      </c>
      <c r="F266" s="33" t="str">
        <f>IF(E266="","",VLOOKUP(E266,'Base Datos'!$A$2:$M$150,2,FALSE))</f>
        <v>Marco inferior pico transparente</v>
      </c>
      <c r="G266" s="99">
        <v>30</v>
      </c>
      <c r="H266" s="102">
        <v>1070</v>
      </c>
      <c r="I266" s="32">
        <v>8</v>
      </c>
      <c r="J266" s="32"/>
      <c r="K266" s="31">
        <v>0</v>
      </c>
      <c r="L266" s="39">
        <v>184975</v>
      </c>
      <c r="M266" s="33">
        <f>IF(E266="","",VLOOKUP(E266,'Base Datos'!$A$2:$M$150,3,FALSE))</f>
        <v>2.25</v>
      </c>
      <c r="N266" s="23">
        <f>IF(E266="","",VLOOKUP(E266,'Base Datos'!$A$2:$M$150,4,FALSE))</f>
        <v>1596</v>
      </c>
      <c r="O266" s="23">
        <f>IF(E266="","",VLOOKUP(E266,'Base Datos'!$A$2:$M$150,5,FALSE))</f>
        <v>27</v>
      </c>
      <c r="P266" s="23">
        <f>IF(E266="","",VLOOKUP(E266,'Base Datos'!$A$2:$M$150,6,FALSE))</f>
        <v>1083</v>
      </c>
      <c r="Q266" s="23">
        <f>IF(E266="","",VLOOKUP(E266,'Base Datos'!$A$2:$M$150,7,FALSE))</f>
        <v>12</v>
      </c>
      <c r="R266" s="40">
        <f>IF(E266="","",VLOOKUP(E266,'Base Datos'!$A$2:$M$150,8,FALSE))</f>
        <v>2.8</v>
      </c>
      <c r="S266" s="40" t="str">
        <f>IF(E266="","",VLOOKUP(E266,'Base Datos'!$A$2:$M$150,9,FALSE))</f>
        <v>PP</v>
      </c>
      <c r="T266" s="33">
        <f>IF(E266="","",(H266*I266)-(J266+K266))</f>
        <v>8560</v>
      </c>
      <c r="U266" s="33">
        <f>IF(E266="","",(I266*R266)/1000)</f>
        <v>2.24E-2</v>
      </c>
      <c r="V266" s="123">
        <f>IF(G266="",0,(G266*H266)/3600)</f>
        <v>8.9166666666666661</v>
      </c>
      <c r="W266" s="45">
        <f>IFERROR(IF(E266="","",(H266/P266)),0)</f>
        <v>0.98799630655586335</v>
      </c>
      <c r="X266" s="94">
        <f>WEEKDAY(A266,1)</f>
        <v>6</v>
      </c>
      <c r="Y266" s="120">
        <f>MONTH(A266)</f>
        <v>7</v>
      </c>
      <c r="Z266" s="125">
        <f>WEEKNUM(A266)-WEEKNUM(DATE(YEAR(A266),MONTH(A266),1))+1</f>
        <v>4</v>
      </c>
      <c r="AA266" s="126">
        <f>IF(V266="",0,V266/8)</f>
        <v>1.1145833333333333</v>
      </c>
      <c r="AB266" s="125">
        <f>IF(E266="02PZ03405",0,1)</f>
        <v>1</v>
      </c>
    </row>
    <row r="267" spans="1:28" x14ac:dyDescent="0.2">
      <c r="A267" s="37">
        <v>44763</v>
      </c>
      <c r="B267" s="31" t="s">
        <v>87</v>
      </c>
      <c r="C267" s="31" t="s">
        <v>92</v>
      </c>
      <c r="D267" s="38">
        <v>4</v>
      </c>
      <c r="E267" s="39" t="s">
        <v>49</v>
      </c>
      <c r="F267" s="33" t="str">
        <f>IF(E267="","",VLOOKUP(E267,'Base Datos'!$A$2:$M$150,2,FALSE))</f>
        <v>Marco inferior pico transparente</v>
      </c>
      <c r="G267" s="99">
        <v>27</v>
      </c>
      <c r="H267" s="102">
        <v>966</v>
      </c>
      <c r="I267" s="32">
        <v>8</v>
      </c>
      <c r="J267" s="32">
        <v>0</v>
      </c>
      <c r="K267" s="31">
        <v>0</v>
      </c>
      <c r="L267" s="39">
        <v>184706</v>
      </c>
      <c r="M267" s="33">
        <f>IF(E267="","",VLOOKUP(E267,'Base Datos'!$A$2:$M$150,3,FALSE))</f>
        <v>2.25</v>
      </c>
      <c r="N267" s="23">
        <f>IF(E267="","",VLOOKUP(E267,'Base Datos'!$A$2:$M$150,4,FALSE))</f>
        <v>1596</v>
      </c>
      <c r="O267" s="23">
        <f>IF(E267="","",VLOOKUP(E267,'Base Datos'!$A$2:$M$150,5,FALSE))</f>
        <v>27</v>
      </c>
      <c r="P267" s="23">
        <f>IF(E267="","",VLOOKUP(E267,'Base Datos'!$A$2:$M$150,6,FALSE))</f>
        <v>1083</v>
      </c>
      <c r="Q267" s="23">
        <f>IF(E267="","",VLOOKUP(E267,'Base Datos'!$A$2:$M$150,7,FALSE))</f>
        <v>12</v>
      </c>
      <c r="R267" s="40">
        <f>IF(E267="","",VLOOKUP(E267,'Base Datos'!$A$2:$M$150,8,FALSE))</f>
        <v>2.8</v>
      </c>
      <c r="S267" s="40" t="str">
        <f>IF(E267="","",VLOOKUP(E267,'Base Datos'!$A$2:$M$150,9,FALSE))</f>
        <v>PP</v>
      </c>
      <c r="T267" s="33">
        <f>IF(E267="","",(H267*I267)-(J267+K267))</f>
        <v>7728</v>
      </c>
      <c r="U267" s="33">
        <f>IF(E267="","",(I267*R267)/1000)</f>
        <v>2.24E-2</v>
      </c>
      <c r="V267" s="123">
        <f>IF(G267="",0,(G267*H267)/3600)</f>
        <v>7.2450000000000001</v>
      </c>
      <c r="W267" s="45">
        <f>IFERROR(IF(E267="","",(H267/P267)),0)</f>
        <v>0.89196675900277012</v>
      </c>
      <c r="X267" s="94">
        <f>WEEKDAY(A267,1)</f>
        <v>5</v>
      </c>
      <c r="Y267" s="120">
        <f>MONTH(A267)</f>
        <v>7</v>
      </c>
      <c r="Z267" s="125">
        <f>WEEKNUM(A267)-WEEKNUM(DATE(YEAR(A267),MONTH(A267),1))+1</f>
        <v>4</v>
      </c>
      <c r="AA267" s="126">
        <f>IF(V267="",0,V267/8)</f>
        <v>0.90562500000000001</v>
      </c>
      <c r="AB267" s="125">
        <f>IF(E267="02PZ03405",0,1)</f>
        <v>1</v>
      </c>
    </row>
    <row r="268" spans="1:28" x14ac:dyDescent="0.2">
      <c r="A268" s="37">
        <v>44762</v>
      </c>
      <c r="B268" s="31" t="s">
        <v>87</v>
      </c>
      <c r="C268" s="31" t="s">
        <v>92</v>
      </c>
      <c r="D268" s="38">
        <v>4</v>
      </c>
      <c r="E268" s="39" t="s">
        <v>49</v>
      </c>
      <c r="F268" s="33" t="str">
        <f>IF(E268="","",VLOOKUP(E268,'Base Datos'!$A$2:$M$150,2,FALSE))</f>
        <v>Marco inferior pico transparente</v>
      </c>
      <c r="G268" s="99">
        <v>28</v>
      </c>
      <c r="H268" s="102">
        <v>900</v>
      </c>
      <c r="I268" s="32">
        <v>8</v>
      </c>
      <c r="J268" s="32"/>
      <c r="K268" s="31"/>
      <c r="L268" s="39">
        <v>184706</v>
      </c>
      <c r="M268" s="33">
        <f>IF(E268="","",VLOOKUP(E268,'Base Datos'!$A$2:$M$150,3,FALSE))</f>
        <v>2.25</v>
      </c>
      <c r="N268" s="23">
        <f>IF(E268="","",VLOOKUP(E268,'Base Datos'!$A$2:$M$150,4,FALSE))</f>
        <v>1596</v>
      </c>
      <c r="O268" s="23">
        <f>IF(E268="","",VLOOKUP(E268,'Base Datos'!$A$2:$M$150,5,FALSE))</f>
        <v>27</v>
      </c>
      <c r="P268" s="23">
        <f>IF(E268="","",VLOOKUP(E268,'Base Datos'!$A$2:$M$150,6,FALSE))</f>
        <v>1083</v>
      </c>
      <c r="Q268" s="23">
        <f>IF(E268="","",VLOOKUP(E268,'Base Datos'!$A$2:$M$150,7,FALSE))</f>
        <v>12</v>
      </c>
      <c r="R268" s="40">
        <f>IF(E268="","",VLOOKUP(E268,'Base Datos'!$A$2:$M$150,8,FALSE))</f>
        <v>2.8</v>
      </c>
      <c r="S268" s="40" t="str">
        <f>IF(E268="","",VLOOKUP(E268,'Base Datos'!$A$2:$M$150,9,FALSE))</f>
        <v>PP</v>
      </c>
      <c r="T268" s="33">
        <f>IF(E268="","",(H268*I268)-(J268+K268))</f>
        <v>7200</v>
      </c>
      <c r="U268" s="33">
        <f>IF(E268="","",(I268*R268)/1000)</f>
        <v>2.24E-2</v>
      </c>
      <c r="V268" s="123">
        <f>IF(G268="",0,(G268*H268)/3600)</f>
        <v>7</v>
      </c>
      <c r="W268" s="45">
        <f>IFERROR(IF(E268="","",(H268/P268)),0)</f>
        <v>0.83102493074792239</v>
      </c>
      <c r="X268" s="94">
        <f>WEEKDAY(A268,1)</f>
        <v>4</v>
      </c>
      <c r="Y268" s="120">
        <f>MONTH(A268)</f>
        <v>7</v>
      </c>
      <c r="Z268" s="125">
        <f>WEEKNUM(A268)-WEEKNUM(DATE(YEAR(A268),MONTH(A268),1))+1</f>
        <v>4</v>
      </c>
      <c r="AA268" s="126">
        <f>IF(V268="",0,V268/8)</f>
        <v>0.875</v>
      </c>
      <c r="AB268" s="125">
        <f>IF(E268="02PZ03405",0,1)</f>
        <v>1</v>
      </c>
    </row>
    <row r="269" spans="1:28" x14ac:dyDescent="0.2">
      <c r="A269" s="37">
        <v>44761</v>
      </c>
      <c r="B269" s="31" t="s">
        <v>87</v>
      </c>
      <c r="C269" s="31" t="s">
        <v>92</v>
      </c>
      <c r="D269" s="38">
        <v>4</v>
      </c>
      <c r="E269" s="39" t="s">
        <v>49</v>
      </c>
      <c r="F269" s="33" t="str">
        <f>IF(E269="","",VLOOKUP(E269,'Base Datos'!$A$2:$M$150,2,FALSE))</f>
        <v>Marco inferior pico transparente</v>
      </c>
      <c r="G269" s="99">
        <v>28</v>
      </c>
      <c r="H269" s="102">
        <v>800</v>
      </c>
      <c r="I269" s="32">
        <v>8</v>
      </c>
      <c r="J269" s="32">
        <v>0</v>
      </c>
      <c r="K269" s="31"/>
      <c r="L269" s="39">
        <v>184706</v>
      </c>
      <c r="M269" s="33">
        <f>IF(E269="","",VLOOKUP(E269,'Base Datos'!$A$2:$M$150,3,FALSE))</f>
        <v>2.25</v>
      </c>
      <c r="N269" s="23">
        <f>IF(E269="","",VLOOKUP(E269,'Base Datos'!$A$2:$M$150,4,FALSE))</f>
        <v>1596</v>
      </c>
      <c r="O269" s="23">
        <f>IF(E269="","",VLOOKUP(E269,'Base Datos'!$A$2:$M$150,5,FALSE))</f>
        <v>27</v>
      </c>
      <c r="P269" s="23">
        <f>IF(E269="","",VLOOKUP(E269,'Base Datos'!$A$2:$M$150,6,FALSE))</f>
        <v>1083</v>
      </c>
      <c r="Q269" s="23">
        <f>IF(E269="","",VLOOKUP(E269,'Base Datos'!$A$2:$M$150,7,FALSE))</f>
        <v>12</v>
      </c>
      <c r="R269" s="40">
        <f>IF(E269="","",VLOOKUP(E269,'Base Datos'!$A$2:$M$150,8,FALSE))</f>
        <v>2.8</v>
      </c>
      <c r="S269" s="40" t="str">
        <f>IF(E269="","",VLOOKUP(E269,'Base Datos'!$A$2:$M$150,9,FALSE))</f>
        <v>PP</v>
      </c>
      <c r="T269" s="33">
        <f>IF(E269="","",(H269*I269)-(J269+K269))</f>
        <v>6400</v>
      </c>
      <c r="U269" s="33">
        <f>IF(E269="","",(I269*R269)/1000)</f>
        <v>2.24E-2</v>
      </c>
      <c r="V269" s="123">
        <f>IF(G269="",0,(G269*H269)/3600)</f>
        <v>6.2222222222222223</v>
      </c>
      <c r="W269" s="45">
        <f>IFERROR(IF(E269="","",(H269/P269)),0)</f>
        <v>0.73868882733148666</v>
      </c>
      <c r="X269" s="94">
        <f>WEEKDAY(A269,1)</f>
        <v>3</v>
      </c>
      <c r="Y269" s="120">
        <f>MONTH(A269)</f>
        <v>7</v>
      </c>
      <c r="Z269" s="125">
        <f>WEEKNUM(A269)-WEEKNUM(DATE(YEAR(A269),MONTH(A269),1))+1</f>
        <v>4</v>
      </c>
      <c r="AA269" s="126">
        <f>IF(V269="",0,V269/8)</f>
        <v>0.77777777777777779</v>
      </c>
      <c r="AB269" s="125">
        <f>IF(E269="02PZ03405",0,1)</f>
        <v>1</v>
      </c>
    </row>
    <row r="270" spans="1:28" x14ac:dyDescent="0.2">
      <c r="A270" s="37">
        <v>44760</v>
      </c>
      <c r="B270" s="31" t="s">
        <v>87</v>
      </c>
      <c r="C270" s="31" t="s">
        <v>92</v>
      </c>
      <c r="D270" s="38">
        <v>4</v>
      </c>
      <c r="E270" s="39" t="s">
        <v>49</v>
      </c>
      <c r="F270" s="33" t="str">
        <f>IF(E270="","",VLOOKUP(E270,'Base Datos'!$A$2:$M$150,2,FALSE))</f>
        <v>Marco inferior pico transparente</v>
      </c>
      <c r="G270" s="99">
        <v>32</v>
      </c>
      <c r="H270" s="102">
        <v>840</v>
      </c>
      <c r="I270" s="32">
        <v>8</v>
      </c>
      <c r="J270" s="32">
        <v>0</v>
      </c>
      <c r="K270" s="31">
        <v>0</v>
      </c>
      <c r="L270" s="39">
        <v>184706</v>
      </c>
      <c r="M270" s="33">
        <f>IF(E270="","",VLOOKUP(E270,'Base Datos'!$A$2:$M$150,3,FALSE))</f>
        <v>2.25</v>
      </c>
      <c r="N270" s="23">
        <f>IF(E270="","",VLOOKUP(E270,'Base Datos'!$A$2:$M$150,4,FALSE))</f>
        <v>1596</v>
      </c>
      <c r="O270" s="23">
        <f>IF(E270="","",VLOOKUP(E270,'Base Datos'!$A$2:$M$150,5,FALSE))</f>
        <v>27</v>
      </c>
      <c r="P270" s="23">
        <f>IF(E270="","",VLOOKUP(E270,'Base Datos'!$A$2:$M$150,6,FALSE))</f>
        <v>1083</v>
      </c>
      <c r="Q270" s="23">
        <f>IF(E270="","",VLOOKUP(E270,'Base Datos'!$A$2:$M$150,7,FALSE))</f>
        <v>12</v>
      </c>
      <c r="R270" s="40">
        <f>IF(E270="","",VLOOKUP(E270,'Base Datos'!$A$2:$M$150,8,FALSE))</f>
        <v>2.8</v>
      </c>
      <c r="S270" s="40" t="str">
        <f>IF(E270="","",VLOOKUP(E270,'Base Datos'!$A$2:$M$150,9,FALSE))</f>
        <v>PP</v>
      </c>
      <c r="T270" s="33">
        <f>IF(E270="","",(H270*I270)-(J270+K270))</f>
        <v>6720</v>
      </c>
      <c r="U270" s="33">
        <f>IF(E270="","",(I270*R270)/1000)</f>
        <v>2.24E-2</v>
      </c>
      <c r="V270" s="123">
        <f>IF(G270="",0,(G270*H270)/3600)</f>
        <v>7.4666666666666668</v>
      </c>
      <c r="W270" s="45">
        <f>IFERROR(IF(E270="","",(H270/P270)),0)</f>
        <v>0.77562326869806097</v>
      </c>
      <c r="X270" s="94">
        <f>WEEKDAY(A270,1)</f>
        <v>2</v>
      </c>
      <c r="Y270" s="120">
        <f>MONTH(A270)</f>
        <v>7</v>
      </c>
      <c r="Z270" s="125">
        <f>WEEKNUM(A270)-WEEKNUM(DATE(YEAR(A270),MONTH(A270),1))+1</f>
        <v>4</v>
      </c>
      <c r="AA270" s="126">
        <f>IF(V270="",0,V270/8)</f>
        <v>0.93333333333333335</v>
      </c>
      <c r="AB270" s="125">
        <f>IF(E270="02PZ03405",0,1)</f>
        <v>1</v>
      </c>
    </row>
    <row r="271" spans="1:28" x14ac:dyDescent="0.2">
      <c r="A271" s="37">
        <v>44757</v>
      </c>
      <c r="B271" s="119" t="s">
        <v>87</v>
      </c>
      <c r="C271" s="31" t="s">
        <v>92</v>
      </c>
      <c r="D271" s="38">
        <v>4</v>
      </c>
      <c r="E271" s="39" t="s">
        <v>49</v>
      </c>
      <c r="F271" s="33" t="str">
        <f>IF(E271="","",VLOOKUP(E271,'Base Datos'!$A$2:$M$150,2,FALSE))</f>
        <v>Marco inferior pico transparente</v>
      </c>
      <c r="G271" s="99">
        <v>25</v>
      </c>
      <c r="H271" s="102">
        <v>1100</v>
      </c>
      <c r="I271" s="32">
        <v>1</v>
      </c>
      <c r="J271" s="32">
        <v>0</v>
      </c>
      <c r="K271" s="31">
        <v>0</v>
      </c>
      <c r="L271" s="39">
        <v>184706</v>
      </c>
      <c r="M271" s="33">
        <f>IF(E271="","",VLOOKUP(E271,'Base Datos'!$A$2:$M$150,3,FALSE))</f>
        <v>2.25</v>
      </c>
      <c r="N271" s="23">
        <f>IF(E271="","",VLOOKUP(E271,'Base Datos'!$A$2:$M$150,4,FALSE))</f>
        <v>1596</v>
      </c>
      <c r="O271" s="23">
        <f>IF(E271="","",VLOOKUP(E271,'Base Datos'!$A$2:$M$150,5,FALSE))</f>
        <v>27</v>
      </c>
      <c r="P271" s="23">
        <f>IF(E271="","",VLOOKUP(E271,'Base Datos'!$A$2:$M$150,6,FALSE))</f>
        <v>1083</v>
      </c>
      <c r="Q271" s="23">
        <f>IF(E271="","",VLOOKUP(E271,'Base Datos'!$A$2:$M$150,7,FALSE))</f>
        <v>12</v>
      </c>
      <c r="R271" s="40">
        <f>IF(E271="","",VLOOKUP(E271,'Base Datos'!$A$2:$M$150,8,FALSE))</f>
        <v>2.8</v>
      </c>
      <c r="S271" s="40" t="str">
        <f>IF(E271="","",VLOOKUP(E271,'Base Datos'!$A$2:$M$150,9,FALSE))</f>
        <v>PP</v>
      </c>
      <c r="T271" s="33">
        <f>IF(E271="","",(H271*I271)-(J271+K271))</f>
        <v>1100</v>
      </c>
      <c r="U271" s="33">
        <f>IF(E271="","",(I271*R271)/1000)</f>
        <v>2.8E-3</v>
      </c>
      <c r="V271" s="123">
        <f>IF(G271="",0,(G271*H271)/3600)</f>
        <v>7.6388888888888893</v>
      </c>
      <c r="W271" s="45">
        <f>IFERROR(IF(E271="","",(H271/P271)),0)</f>
        <v>1.0156971375807942</v>
      </c>
      <c r="X271" s="94">
        <f>WEEKDAY(A271,1)</f>
        <v>6</v>
      </c>
      <c r="Y271" s="120">
        <f>MONTH(A271)</f>
        <v>7</v>
      </c>
      <c r="Z271" s="125">
        <f>WEEKNUM(A271)-WEEKNUM(DATE(YEAR(A271),MONTH(A271),1))+1</f>
        <v>3</v>
      </c>
      <c r="AA271" s="126">
        <f>IF(V271="",0,V271/8)</f>
        <v>0.95486111111111116</v>
      </c>
      <c r="AB271" s="125">
        <f>IF(E271="02PZ03405",0,1)</f>
        <v>1</v>
      </c>
    </row>
    <row r="272" spans="1:28" x14ac:dyDescent="0.2">
      <c r="A272" s="37">
        <v>44756</v>
      </c>
      <c r="B272" s="31" t="s">
        <v>87</v>
      </c>
      <c r="C272" s="31" t="s">
        <v>92</v>
      </c>
      <c r="D272" s="38">
        <v>4</v>
      </c>
      <c r="E272" s="39" t="s">
        <v>49</v>
      </c>
      <c r="F272" s="33" t="str">
        <f>IF(E272="","",VLOOKUP(E272,'Base Datos'!$A$2:$M$150,2,FALSE))</f>
        <v>Marco inferior pico transparente</v>
      </c>
      <c r="G272" s="99">
        <v>25</v>
      </c>
      <c r="H272" s="102">
        <v>1100</v>
      </c>
      <c r="I272" s="32">
        <v>8</v>
      </c>
      <c r="J272" s="32">
        <v>0</v>
      </c>
      <c r="K272" s="31">
        <v>0</v>
      </c>
      <c r="L272" s="39">
        <v>184706</v>
      </c>
      <c r="M272" s="33">
        <f>IF(E272="","",VLOOKUP(E272,'Base Datos'!$A$2:$M$150,3,FALSE))</f>
        <v>2.25</v>
      </c>
      <c r="N272" s="23">
        <f>IF(E272="","",VLOOKUP(E272,'Base Datos'!$A$2:$M$150,4,FALSE))</f>
        <v>1596</v>
      </c>
      <c r="O272" s="23">
        <f>IF(E272="","",VLOOKUP(E272,'Base Datos'!$A$2:$M$150,5,FALSE))</f>
        <v>27</v>
      </c>
      <c r="P272" s="23">
        <f>IF(E272="","",VLOOKUP(E272,'Base Datos'!$A$2:$M$150,6,FALSE))</f>
        <v>1083</v>
      </c>
      <c r="Q272" s="23">
        <f>IF(E272="","",VLOOKUP(E272,'Base Datos'!$A$2:$M$150,7,FALSE))</f>
        <v>12</v>
      </c>
      <c r="R272" s="40">
        <f>IF(E272="","",VLOOKUP(E272,'Base Datos'!$A$2:$M$150,8,FALSE))</f>
        <v>2.8</v>
      </c>
      <c r="S272" s="40" t="str">
        <f>IF(E272="","",VLOOKUP(E272,'Base Datos'!$A$2:$M$150,9,FALSE))</f>
        <v>PP</v>
      </c>
      <c r="T272" s="33">
        <f>IF(E272="","",(H272*I272)-(J272+K272))</f>
        <v>8800</v>
      </c>
      <c r="U272" s="33">
        <f>IF(E272="","",(I272*R272)/1000)</f>
        <v>2.24E-2</v>
      </c>
      <c r="V272" s="123">
        <f>IF(G272="",0,(G272*H272)/3600)</f>
        <v>7.6388888888888893</v>
      </c>
      <c r="W272" s="45">
        <f>IFERROR(IF(E272="","",(H272/P272)),0)</f>
        <v>1.0156971375807942</v>
      </c>
      <c r="X272" s="94">
        <f>WEEKDAY(A272,1)</f>
        <v>5</v>
      </c>
      <c r="Y272" s="120">
        <f>MONTH(A272)</f>
        <v>7</v>
      </c>
      <c r="Z272" s="125">
        <f>WEEKNUM(A272)-WEEKNUM(DATE(YEAR(A272),MONTH(A272),1))+1</f>
        <v>3</v>
      </c>
      <c r="AA272" s="126">
        <f>IF(V272="",0,V272/8)</f>
        <v>0.95486111111111116</v>
      </c>
      <c r="AB272" s="125">
        <f>IF(E272="02PZ03405",0,1)</f>
        <v>1</v>
      </c>
    </row>
    <row r="273" spans="1:28" x14ac:dyDescent="0.2">
      <c r="A273" s="37">
        <v>44754</v>
      </c>
      <c r="B273" s="119" t="s">
        <v>87</v>
      </c>
      <c r="C273" s="31" t="s">
        <v>92</v>
      </c>
      <c r="D273" s="38">
        <v>4</v>
      </c>
      <c r="E273" s="39" t="s">
        <v>49</v>
      </c>
      <c r="F273" s="33" t="str">
        <f>IF(E273="","",VLOOKUP(E273,'Base Datos'!$A$2:$M$150,2,FALSE))</f>
        <v>Marco inferior pico transparente</v>
      </c>
      <c r="G273" s="32">
        <v>25</v>
      </c>
      <c r="H273" s="102">
        <v>400</v>
      </c>
      <c r="I273" s="32">
        <v>1</v>
      </c>
      <c r="J273" s="32">
        <v>0</v>
      </c>
      <c r="K273" s="31">
        <v>10</v>
      </c>
      <c r="L273" s="39">
        <v>184706</v>
      </c>
      <c r="M273" s="33">
        <f>IF(E273="","",VLOOKUP(E273,'Base Datos'!$A$2:$M$150,3,FALSE))</f>
        <v>2.25</v>
      </c>
      <c r="N273" s="23">
        <f>IF(E273="","",VLOOKUP(E273,'Base Datos'!$A$2:$M$150,4,FALSE))</f>
        <v>1596</v>
      </c>
      <c r="O273" s="23">
        <f>IF(E273="","",VLOOKUP(E273,'Base Datos'!$A$2:$M$150,5,FALSE))</f>
        <v>27</v>
      </c>
      <c r="P273" s="23">
        <f>IF(E273="","",VLOOKUP(E273,'Base Datos'!$A$2:$M$150,6,FALSE))</f>
        <v>1083</v>
      </c>
      <c r="Q273" s="23">
        <f>IF(E273="","",VLOOKUP(E273,'Base Datos'!$A$2:$M$150,7,FALSE))</f>
        <v>12</v>
      </c>
      <c r="R273" s="40">
        <f>IF(E273="","",VLOOKUP(E273,'Base Datos'!$A$2:$M$150,8,FALSE))</f>
        <v>2.8</v>
      </c>
      <c r="S273" s="40" t="str">
        <f>IF(E273="","",VLOOKUP(E273,'Base Datos'!$A$2:$M$150,9,FALSE))</f>
        <v>PP</v>
      </c>
      <c r="T273" s="33">
        <f>IF(E273="","",(H273*I273)-(J273+K273))</f>
        <v>390</v>
      </c>
      <c r="U273" s="33">
        <f>IF(E273="","",(I273*R273)/1000)</f>
        <v>2.8E-3</v>
      </c>
      <c r="V273" s="123">
        <f>IF(G273="",0,(G273*H273)/3600)</f>
        <v>2.7777777777777777</v>
      </c>
      <c r="W273" s="45">
        <f>IFERROR(IF(E273="","",(H273/P273)),0)</f>
        <v>0.36934441366574333</v>
      </c>
      <c r="X273" s="94">
        <f>WEEKDAY(A273,1)</f>
        <v>3</v>
      </c>
      <c r="Y273" s="120">
        <f>MONTH(A273)</f>
        <v>7</v>
      </c>
      <c r="Z273" s="125">
        <f>WEEKNUM(A273)-WEEKNUM(DATE(YEAR(A273),MONTH(A273),1))+1</f>
        <v>3</v>
      </c>
      <c r="AA273" s="126">
        <f>IF(V273="",0,V273/8)</f>
        <v>0.34722222222222221</v>
      </c>
      <c r="AB273" s="125">
        <f>IF(E273="02PZ03405",0,1)</f>
        <v>1</v>
      </c>
    </row>
    <row r="274" spans="1:28" x14ac:dyDescent="0.2">
      <c r="A274" s="37">
        <v>44753</v>
      </c>
      <c r="B274" s="31" t="s">
        <v>87</v>
      </c>
      <c r="C274" s="31" t="s">
        <v>92</v>
      </c>
      <c r="D274" s="38">
        <v>4</v>
      </c>
      <c r="E274" s="39" t="s">
        <v>49</v>
      </c>
      <c r="F274" s="33" t="str">
        <f>IF(E274="","",VLOOKUP(E274,'Base Datos'!$A$2:$M$150,2,FALSE))</f>
        <v>Marco inferior pico transparente</v>
      </c>
      <c r="G274" s="99">
        <v>28</v>
      </c>
      <c r="H274" s="102">
        <v>930</v>
      </c>
      <c r="I274" s="32">
        <v>8</v>
      </c>
      <c r="J274" s="32"/>
      <c r="K274" s="31"/>
      <c r="L274" s="39">
        <v>184706</v>
      </c>
      <c r="M274" s="33">
        <f>IF(E274="","",VLOOKUP(E274,'Base Datos'!$A$2:$M$150,3,FALSE))</f>
        <v>2.25</v>
      </c>
      <c r="N274" s="23">
        <f>IF(E274="","",VLOOKUP(E274,'Base Datos'!$A$2:$M$150,4,FALSE))</f>
        <v>1596</v>
      </c>
      <c r="O274" s="23">
        <f>IF(E274="","",VLOOKUP(E274,'Base Datos'!$A$2:$M$150,5,FALSE))</f>
        <v>27</v>
      </c>
      <c r="P274" s="23">
        <f>IF(E274="","",VLOOKUP(E274,'Base Datos'!$A$2:$M$150,6,FALSE))</f>
        <v>1083</v>
      </c>
      <c r="Q274" s="23">
        <f>IF(E274="","",VLOOKUP(E274,'Base Datos'!$A$2:$M$150,7,FALSE))</f>
        <v>12</v>
      </c>
      <c r="R274" s="40">
        <f>IF(E274="","",VLOOKUP(E274,'Base Datos'!$A$2:$M$150,8,FALSE))</f>
        <v>2.8</v>
      </c>
      <c r="S274" s="40" t="str">
        <f>IF(E274="","",VLOOKUP(E274,'Base Datos'!$A$2:$M$150,9,FALSE))</f>
        <v>PP</v>
      </c>
      <c r="T274" s="33">
        <f>IF(E274="","",(H274*I274)-(J274+K274))</f>
        <v>7440</v>
      </c>
      <c r="U274" s="33">
        <f>IF(E274="","",(I274*R274)/1000)</f>
        <v>2.24E-2</v>
      </c>
      <c r="V274" s="123">
        <f>IF(G274="",0,(G274*H274)/3600)</f>
        <v>7.2333333333333334</v>
      </c>
      <c r="W274" s="45">
        <f>IFERROR(IF(E274="","",(H274/P274)),0)</f>
        <v>0.8587257617728532</v>
      </c>
      <c r="X274" s="94">
        <f>WEEKDAY(A274,1)</f>
        <v>2</v>
      </c>
      <c r="Y274" s="120">
        <f>MONTH(A274)</f>
        <v>7</v>
      </c>
      <c r="Z274" s="125">
        <f>WEEKNUM(A274)-WEEKNUM(DATE(YEAR(A274),MONTH(A274),1))+1</f>
        <v>3</v>
      </c>
      <c r="AA274" s="126">
        <f>IF(V274="",0,V274/8)</f>
        <v>0.90416666666666667</v>
      </c>
      <c r="AB274" s="125">
        <f>IF(E274="02PZ03405",0,1)</f>
        <v>1</v>
      </c>
    </row>
    <row r="275" spans="1:28" x14ac:dyDescent="0.2">
      <c r="A275" s="101">
        <v>44749</v>
      </c>
      <c r="B275" s="31" t="s">
        <v>87</v>
      </c>
      <c r="C275" s="31" t="s">
        <v>92</v>
      </c>
      <c r="D275" s="38">
        <v>4</v>
      </c>
      <c r="E275" s="39" t="s">
        <v>49</v>
      </c>
      <c r="F275" s="33" t="str">
        <f>IF(E275="","",VLOOKUP(E275,'Base Datos'!$A$2:$M$150,2,FALSE))</f>
        <v>Marco inferior pico transparente</v>
      </c>
      <c r="G275" s="32">
        <v>26</v>
      </c>
      <c r="H275" s="32">
        <v>1100</v>
      </c>
      <c r="I275" s="32">
        <v>8</v>
      </c>
      <c r="J275" s="32"/>
      <c r="K275" s="31"/>
      <c r="L275" s="39">
        <v>183471</v>
      </c>
      <c r="M275" s="33">
        <f>IF(E275="","",VLOOKUP(E275,'Base Datos'!$A$2:$M$150,3,FALSE))</f>
        <v>2.25</v>
      </c>
      <c r="N275" s="23">
        <f>IF(E275="","",VLOOKUP(E275,'Base Datos'!$A$2:$M$150,4,FALSE))</f>
        <v>1596</v>
      </c>
      <c r="O275" s="23">
        <f>IF(E275="","",VLOOKUP(E275,'Base Datos'!$A$2:$M$150,5,FALSE))</f>
        <v>27</v>
      </c>
      <c r="P275" s="23">
        <f>IF(E275="","",VLOOKUP(E275,'Base Datos'!$A$2:$M$150,6,FALSE))</f>
        <v>1083</v>
      </c>
      <c r="Q275" s="23">
        <f>IF(E275="","",VLOOKUP(E275,'Base Datos'!$A$2:$M$150,7,FALSE))</f>
        <v>12</v>
      </c>
      <c r="R275" s="40">
        <f>IF(E275="","",VLOOKUP(E275,'Base Datos'!$A$2:$M$150,8,FALSE))</f>
        <v>2.8</v>
      </c>
      <c r="S275" s="40" t="str">
        <f>IF(E275="","",VLOOKUP(E275,'Base Datos'!$A$2:$M$150,9,FALSE))</f>
        <v>PP</v>
      </c>
      <c r="T275" s="33">
        <f>IF(E275="","",(H275*I275)-(J275+K275))</f>
        <v>8800</v>
      </c>
      <c r="U275" s="33">
        <f>IF(E275="","",(H275*R275)/1000)</f>
        <v>3.08</v>
      </c>
      <c r="V275" s="123">
        <f>IF(G275="",0,(G275*H275)/3600)</f>
        <v>7.9444444444444446</v>
      </c>
      <c r="W275" s="45">
        <f>IFERROR(IF(E275="","",(H275/P275)),0)</f>
        <v>1.0156971375807942</v>
      </c>
      <c r="X275" s="94">
        <f>WEEKDAY(A275,1)</f>
        <v>5</v>
      </c>
      <c r="Y275" s="120">
        <f>MONTH(A275)</f>
        <v>7</v>
      </c>
      <c r="Z275" s="125">
        <f>WEEKNUM(A275)-WEEKNUM(DATE(YEAR(A275),MONTH(A275),1))+1</f>
        <v>2</v>
      </c>
      <c r="AA275" s="126">
        <f>IF(V275="",0,V275/8)</f>
        <v>0.99305555555555558</v>
      </c>
      <c r="AB275" s="125">
        <f>IF(E275="02PZ03405",0,1)</f>
        <v>1</v>
      </c>
    </row>
    <row r="276" spans="1:28" x14ac:dyDescent="0.2">
      <c r="A276" s="101">
        <v>44748</v>
      </c>
      <c r="B276" s="96" t="s">
        <v>87</v>
      </c>
      <c r="C276" s="96" t="s">
        <v>92</v>
      </c>
      <c r="D276" s="38">
        <v>4</v>
      </c>
      <c r="E276" s="39" t="s">
        <v>49</v>
      </c>
      <c r="F276" s="95" t="s">
        <v>47</v>
      </c>
      <c r="G276" s="99">
        <v>26.3</v>
      </c>
      <c r="H276" s="99">
        <v>709</v>
      </c>
      <c r="I276" s="99">
        <v>6</v>
      </c>
      <c r="J276" s="99">
        <v>0</v>
      </c>
      <c r="K276" s="39">
        <v>0</v>
      </c>
      <c r="L276" s="39">
        <v>183471</v>
      </c>
      <c r="M276" s="97">
        <f>IF(E276="","",VLOOKUP(E276,'Base Datos'!$A$2:$M$150,3,FALSE))</f>
        <v>2.25</v>
      </c>
      <c r="N276" s="40">
        <f>IF(E276="","",VLOOKUP(E276,'Base Datos'!$A$2:$M$150,4,FALSE))</f>
        <v>1596</v>
      </c>
      <c r="O276" s="40">
        <f>IF(E276="","",VLOOKUP(E276,'Base Datos'!$A$2:$M$150,5,FALSE))</f>
        <v>27</v>
      </c>
      <c r="P276" s="40">
        <f>IF(E276="","",VLOOKUP(E276,'Base Datos'!$A$2:$M$150,6,FALSE))</f>
        <v>1083</v>
      </c>
      <c r="Q276" s="40">
        <f>IF(E276="","",VLOOKUP(E276,'Base Datos'!$A$2:$M$150,7,FALSE))</f>
        <v>12</v>
      </c>
      <c r="R276" s="40">
        <f>IF(E276="","",VLOOKUP(E276,'Base Datos'!$A$2:$M$150,8,FALSE))</f>
        <v>2.8</v>
      </c>
      <c r="S276" s="40" t="str">
        <f>IF(E276="","",VLOOKUP(E276,'Base Datos'!$A$2:$M$150,9,FALSE))</f>
        <v>PP</v>
      </c>
      <c r="T276" s="97">
        <f>IF(E276="","",(H276*I276)-(J276+K276))</f>
        <v>4254</v>
      </c>
      <c r="U276" s="98">
        <f>IF(E276="","",(H276*R276)/1000)</f>
        <v>1.9851999999999999</v>
      </c>
      <c r="V276" s="123">
        <f>IF(G276="",0,(G276*H276)/3600)</f>
        <v>5.1796388888888893</v>
      </c>
      <c r="W276" s="45">
        <f>IFERROR(IF(E276="","",(H276/P276)),0)</f>
        <v>0.65466297322252998</v>
      </c>
      <c r="X276" s="94">
        <f>WEEKDAY(A276,1)</f>
        <v>4</v>
      </c>
      <c r="Y276" s="120">
        <f>MONTH(A276)</f>
        <v>7</v>
      </c>
      <c r="Z276" s="125">
        <f>WEEKNUM(A276)-WEEKNUM(DATE(YEAR(A276),MONTH(A276),1))+1</f>
        <v>2</v>
      </c>
      <c r="AA276" s="126">
        <f>IF(V276="",0,V276/8)</f>
        <v>0.64745486111111117</v>
      </c>
      <c r="AB276" s="125">
        <f>IF(E276="02PZ03405",0,1)</f>
        <v>1</v>
      </c>
    </row>
    <row r="277" spans="1:28" x14ac:dyDescent="0.2">
      <c r="A277" s="101">
        <v>44749</v>
      </c>
      <c r="B277" s="31" t="s">
        <v>34</v>
      </c>
      <c r="C277" s="31" t="s">
        <v>89</v>
      </c>
      <c r="D277" s="38">
        <v>4</v>
      </c>
      <c r="E277" s="39" t="s">
        <v>49</v>
      </c>
      <c r="F277" s="33" t="str">
        <f>IF(E277="","",VLOOKUP(E277,'Base Datos'!$A$2:$M$150,2,FALSE))</f>
        <v>Marco inferior pico transparente</v>
      </c>
      <c r="G277" s="32">
        <v>26.2</v>
      </c>
      <c r="H277" s="32">
        <v>1041</v>
      </c>
      <c r="I277" s="32">
        <v>8</v>
      </c>
      <c r="J277" s="32">
        <v>0</v>
      </c>
      <c r="K277" s="31">
        <v>0</v>
      </c>
      <c r="L277" s="39">
        <v>183471</v>
      </c>
      <c r="M277" s="33">
        <f>IF(E277="","",VLOOKUP(E277,'Base Datos'!$A$2:$M$150,3,FALSE))</f>
        <v>2.25</v>
      </c>
      <c r="N277" s="23">
        <f>IF(E277="","",VLOOKUP(E277,'Base Datos'!$A$2:$M$150,4,FALSE))</f>
        <v>1596</v>
      </c>
      <c r="O277" s="23">
        <f>IF(E277="","",VLOOKUP(E277,'Base Datos'!$A$2:$M$150,5,FALSE))</f>
        <v>27</v>
      </c>
      <c r="P277" s="23">
        <f>IF(E277="","",VLOOKUP(E277,'Base Datos'!$A$2:$M$150,6,FALSE))</f>
        <v>1083</v>
      </c>
      <c r="Q277" s="23">
        <f>IF(E277="","",VLOOKUP(E277,'Base Datos'!$A$2:$M$150,7,FALSE))</f>
        <v>12</v>
      </c>
      <c r="R277" s="40">
        <f>IF(E277="","",VLOOKUP(E277,'Base Datos'!$A$2:$M$150,8,FALSE))</f>
        <v>2.8</v>
      </c>
      <c r="S277" s="40" t="str">
        <f>IF(E277="","",VLOOKUP(E277,'Base Datos'!$A$2:$M$150,9,FALSE))</f>
        <v>PP</v>
      </c>
      <c r="T277" s="33">
        <f>IF(E277="","",(H277*I277)-(J277+K277))</f>
        <v>8328</v>
      </c>
      <c r="U277" s="33">
        <f>IF(E277="","",(H277*R277)/1000)</f>
        <v>2.9147999999999996</v>
      </c>
      <c r="V277" s="123">
        <f>IF(G277="",0,(G277*H277)/3600)</f>
        <v>7.5761666666666665</v>
      </c>
      <c r="W277" s="45">
        <f>IFERROR(IF(E277="","",(H277/P277)),0)</f>
        <v>0.96121883656509699</v>
      </c>
      <c r="X277" s="94">
        <f>WEEKDAY(A277,1)</f>
        <v>5</v>
      </c>
      <c r="Y277" s="120">
        <f>MONTH(A277)</f>
        <v>7</v>
      </c>
      <c r="Z277" s="125">
        <f>WEEKNUM(A277)-WEEKNUM(DATE(YEAR(A277),MONTH(A277),1))+1</f>
        <v>2</v>
      </c>
      <c r="AA277" s="126">
        <f>IF(V277="",0,V277/8)</f>
        <v>0.94702083333333331</v>
      </c>
      <c r="AB277" s="125">
        <f>IF(E277="02PZ03405",0,1)</f>
        <v>1</v>
      </c>
    </row>
    <row r="278" spans="1:28" x14ac:dyDescent="0.2">
      <c r="A278" s="37">
        <v>44767</v>
      </c>
      <c r="B278" s="31" t="s">
        <v>34</v>
      </c>
      <c r="C278" s="31" t="s">
        <v>35</v>
      </c>
      <c r="D278" s="38">
        <v>4</v>
      </c>
      <c r="E278" s="39" t="s">
        <v>49</v>
      </c>
      <c r="F278" s="33" t="str">
        <f>IF(E278="","",VLOOKUP(E278,'Base Datos'!$A$2:$M$150,2,FALSE))</f>
        <v>Marco inferior pico transparente</v>
      </c>
      <c r="G278" s="99">
        <v>30</v>
      </c>
      <c r="H278" s="102">
        <v>1100</v>
      </c>
      <c r="I278" s="32">
        <v>8</v>
      </c>
      <c r="J278" s="32"/>
      <c r="K278" s="31"/>
      <c r="L278" s="39">
        <v>184975</v>
      </c>
      <c r="M278" s="33">
        <f>IF(E278="","",VLOOKUP(E278,'Base Datos'!$A$2:$M$150,3,FALSE))</f>
        <v>2.25</v>
      </c>
      <c r="N278" s="23">
        <f>IF(E278="","",VLOOKUP(E278,'Base Datos'!$A$2:$M$150,4,FALSE))</f>
        <v>1596</v>
      </c>
      <c r="O278" s="23">
        <f>IF(E278="","",VLOOKUP(E278,'Base Datos'!$A$2:$M$150,5,FALSE))</f>
        <v>27</v>
      </c>
      <c r="P278" s="23">
        <f>IF(E278="","",VLOOKUP(E278,'Base Datos'!$A$2:$M$150,6,FALSE))</f>
        <v>1083</v>
      </c>
      <c r="Q278" s="23">
        <f>IF(E278="","",VLOOKUP(E278,'Base Datos'!$A$2:$M$150,7,FALSE))</f>
        <v>12</v>
      </c>
      <c r="R278" s="40">
        <f>IF(E278="","",VLOOKUP(E278,'Base Datos'!$A$2:$M$150,8,FALSE))</f>
        <v>2.8</v>
      </c>
      <c r="S278" s="40" t="str">
        <f>IF(E278="","",VLOOKUP(E278,'Base Datos'!$A$2:$M$150,9,FALSE))</f>
        <v>PP</v>
      </c>
      <c r="T278" s="33">
        <f>IF(E278="","",(H278*I278)-(J278+K278))</f>
        <v>8800</v>
      </c>
      <c r="U278" s="33">
        <f>IF(E278="","",(I278*R278)/1000)</f>
        <v>2.24E-2</v>
      </c>
      <c r="V278" s="123">
        <f>IF(G278="",0,(G278*H278)/3600)</f>
        <v>9.1666666666666661</v>
      </c>
      <c r="W278" s="45">
        <f>IFERROR(IF(E278="","",(H278/P278)),0)</f>
        <v>1.0156971375807942</v>
      </c>
      <c r="X278" s="94">
        <f>WEEKDAY(A278,1)</f>
        <v>2</v>
      </c>
      <c r="Y278" s="120">
        <f>MONTH(A278)</f>
        <v>7</v>
      </c>
      <c r="Z278" s="125">
        <f>WEEKNUM(A278)-WEEKNUM(DATE(YEAR(A278),MONTH(A278),1))+1</f>
        <v>5</v>
      </c>
      <c r="AA278" s="126">
        <f>IF(V278="",0,V278/8)</f>
        <v>1.1458333333333333</v>
      </c>
      <c r="AB278" s="125">
        <f>IF(E278="02PZ03405",0,1)</f>
        <v>1</v>
      </c>
    </row>
    <row r="279" spans="1:28" x14ac:dyDescent="0.2">
      <c r="A279" s="37">
        <v>44764</v>
      </c>
      <c r="B279" s="31" t="s">
        <v>34</v>
      </c>
      <c r="C279" s="31" t="s">
        <v>35</v>
      </c>
      <c r="D279" s="38">
        <v>4</v>
      </c>
      <c r="E279" s="39" t="s">
        <v>49</v>
      </c>
      <c r="F279" s="33" t="str">
        <f>IF(E279="","",VLOOKUP(E279,'Base Datos'!$A$2:$M$150,2,FALSE))</f>
        <v>Marco inferior pico transparente</v>
      </c>
      <c r="G279" s="99">
        <v>27.6</v>
      </c>
      <c r="H279" s="102">
        <v>1029</v>
      </c>
      <c r="I279" s="32">
        <v>8</v>
      </c>
      <c r="J279" s="32"/>
      <c r="K279" s="31"/>
      <c r="L279" s="39">
        <v>184706</v>
      </c>
      <c r="M279" s="33">
        <f>IF(E279="","",VLOOKUP(E279,'Base Datos'!$A$2:$M$150,3,FALSE))</f>
        <v>2.25</v>
      </c>
      <c r="N279" s="23">
        <f>IF(E279="","",VLOOKUP(E279,'Base Datos'!$A$2:$M$150,4,FALSE))</f>
        <v>1596</v>
      </c>
      <c r="O279" s="23">
        <f>IF(E279="","",VLOOKUP(E279,'Base Datos'!$A$2:$M$150,5,FALSE))</f>
        <v>27</v>
      </c>
      <c r="P279" s="23">
        <f>IF(E279="","",VLOOKUP(E279,'Base Datos'!$A$2:$M$150,6,FALSE))</f>
        <v>1083</v>
      </c>
      <c r="Q279" s="23">
        <f>IF(E279="","",VLOOKUP(E279,'Base Datos'!$A$2:$M$150,7,FALSE))</f>
        <v>12</v>
      </c>
      <c r="R279" s="40">
        <f>IF(E279="","",VLOOKUP(E279,'Base Datos'!$A$2:$M$150,8,FALSE))</f>
        <v>2.8</v>
      </c>
      <c r="S279" s="40" t="str">
        <f>IF(E279="","",VLOOKUP(E279,'Base Datos'!$A$2:$M$150,9,FALSE))</f>
        <v>PP</v>
      </c>
      <c r="T279" s="33">
        <f>IF(E279="","",(H279*I279)-(J279+K279))</f>
        <v>8232</v>
      </c>
      <c r="U279" s="33">
        <f>IF(E279="","",(I279*R279)/1000)</f>
        <v>2.24E-2</v>
      </c>
      <c r="V279" s="123">
        <f>IF(G279="",0,(G279*H279)/3600)</f>
        <v>7.8890000000000002</v>
      </c>
      <c r="W279" s="45">
        <f>IFERROR(IF(E279="","",(H279/P279)),0)</f>
        <v>0.95013850415512469</v>
      </c>
      <c r="X279" s="94">
        <f>WEEKDAY(A279,1)</f>
        <v>6</v>
      </c>
      <c r="Y279" s="120">
        <f>MONTH(A279)</f>
        <v>7</v>
      </c>
      <c r="Z279" s="125">
        <f>WEEKNUM(A279)-WEEKNUM(DATE(YEAR(A279),MONTH(A279),1))+1</f>
        <v>4</v>
      </c>
      <c r="AA279" s="126">
        <f>IF(V279="",0,V279/8)</f>
        <v>0.98612500000000003</v>
      </c>
      <c r="AB279" s="125">
        <f>IF(E279="02PZ03405",0,1)</f>
        <v>1</v>
      </c>
    </row>
    <row r="280" spans="1:28" x14ac:dyDescent="0.2">
      <c r="A280" s="37">
        <v>44763</v>
      </c>
      <c r="B280" s="31" t="s">
        <v>34</v>
      </c>
      <c r="C280" s="31" t="s">
        <v>35</v>
      </c>
      <c r="D280" s="38">
        <v>2</v>
      </c>
      <c r="E280" s="39" t="s">
        <v>49</v>
      </c>
      <c r="F280" s="33" t="str">
        <f>IF(E280="","",VLOOKUP(E280,'Base Datos'!$A$2:$M$150,2,FALSE))</f>
        <v>Marco inferior pico transparente</v>
      </c>
      <c r="G280" s="99">
        <v>27.4</v>
      </c>
      <c r="H280" s="102">
        <v>1018</v>
      </c>
      <c r="I280" s="32">
        <v>8</v>
      </c>
      <c r="J280" s="32"/>
      <c r="K280" s="31"/>
      <c r="L280" s="39">
        <v>184706</v>
      </c>
      <c r="M280" s="33">
        <f>IF(E280="","",VLOOKUP(E280,'Base Datos'!$A$2:$M$150,3,FALSE))</f>
        <v>2.25</v>
      </c>
      <c r="N280" s="23">
        <f>IF(E280="","",VLOOKUP(E280,'Base Datos'!$A$2:$M$150,4,FALSE))</f>
        <v>1596</v>
      </c>
      <c r="O280" s="23">
        <f>IF(E280="","",VLOOKUP(E280,'Base Datos'!$A$2:$M$150,5,FALSE))</f>
        <v>27</v>
      </c>
      <c r="P280" s="23">
        <f>IF(E280="","",VLOOKUP(E280,'Base Datos'!$A$2:$M$150,6,FALSE))</f>
        <v>1083</v>
      </c>
      <c r="Q280" s="23">
        <f>IF(E280="","",VLOOKUP(E280,'Base Datos'!$A$2:$M$150,7,FALSE))</f>
        <v>12</v>
      </c>
      <c r="R280" s="40">
        <f>IF(E280="","",VLOOKUP(E280,'Base Datos'!$A$2:$M$150,8,FALSE))</f>
        <v>2.8</v>
      </c>
      <c r="S280" s="40" t="str">
        <f>IF(E280="","",VLOOKUP(E280,'Base Datos'!$A$2:$M$150,9,FALSE))</f>
        <v>PP</v>
      </c>
      <c r="T280" s="33">
        <f>IF(E280="","",(H280*I280)-(J280+K280))</f>
        <v>8144</v>
      </c>
      <c r="U280" s="33">
        <f>IF(E280="","",(I280*R280)/1000)</f>
        <v>2.24E-2</v>
      </c>
      <c r="V280" s="123">
        <f>IF(G280="",0,(G280*H280)/3600)</f>
        <v>7.7481111111111103</v>
      </c>
      <c r="W280" s="45">
        <f>IFERROR(IF(E280="","",(H280/P280)),0)</f>
        <v>0.93998153277931673</v>
      </c>
      <c r="X280" s="94">
        <f>WEEKDAY(A280,1)</f>
        <v>5</v>
      </c>
      <c r="Y280" s="120">
        <f>MONTH(A280)</f>
        <v>7</v>
      </c>
      <c r="Z280" s="125">
        <f>WEEKNUM(A280)-WEEKNUM(DATE(YEAR(A280),MONTH(A280),1))+1</f>
        <v>4</v>
      </c>
      <c r="AA280" s="126">
        <f>IF(V280="",0,V280/8)</f>
        <v>0.96851388888888879</v>
      </c>
      <c r="AB280" s="125">
        <f>IF(E280="02PZ03405",0,1)</f>
        <v>1</v>
      </c>
    </row>
    <row r="281" spans="1:28" x14ac:dyDescent="0.2">
      <c r="A281" s="37">
        <v>44762</v>
      </c>
      <c r="B281" s="31" t="s">
        <v>34</v>
      </c>
      <c r="C281" s="31" t="s">
        <v>35</v>
      </c>
      <c r="D281" s="38">
        <v>4</v>
      </c>
      <c r="E281" s="39" t="s">
        <v>49</v>
      </c>
      <c r="F281" s="33" t="str">
        <f>IF(E281="","",VLOOKUP(E281,'Base Datos'!$A$2:$M$150,2,FALSE))</f>
        <v>Marco inferior pico transparente</v>
      </c>
      <c r="G281" s="99">
        <v>29</v>
      </c>
      <c r="H281" s="102">
        <v>1478</v>
      </c>
      <c r="I281" s="32">
        <v>8</v>
      </c>
      <c r="J281" s="32"/>
      <c r="K281" s="31"/>
      <c r="L281" s="39">
        <v>184706</v>
      </c>
      <c r="M281" s="33">
        <f>IF(E281="","",VLOOKUP(E281,'Base Datos'!$A$2:$M$150,3,FALSE))</f>
        <v>2.25</v>
      </c>
      <c r="N281" s="23">
        <f>IF(E281="","",VLOOKUP(E281,'Base Datos'!$A$2:$M$150,4,FALSE))</f>
        <v>1596</v>
      </c>
      <c r="O281" s="23">
        <f>IF(E281="","",VLOOKUP(E281,'Base Datos'!$A$2:$M$150,5,FALSE))</f>
        <v>27</v>
      </c>
      <c r="P281" s="23">
        <f>IF(E281="","",VLOOKUP(E281,'Base Datos'!$A$2:$M$150,6,FALSE))</f>
        <v>1083</v>
      </c>
      <c r="Q281" s="23">
        <f>IF(E281="","",VLOOKUP(E281,'Base Datos'!$A$2:$M$150,7,FALSE))</f>
        <v>12</v>
      </c>
      <c r="R281" s="40">
        <f>IF(E281="","",VLOOKUP(E281,'Base Datos'!$A$2:$M$150,8,FALSE))</f>
        <v>2.8</v>
      </c>
      <c r="S281" s="40" t="str">
        <f>IF(E281="","",VLOOKUP(E281,'Base Datos'!$A$2:$M$150,9,FALSE))</f>
        <v>PP</v>
      </c>
      <c r="T281" s="33">
        <f>IF(E281="","",(H281*I281)-(J281+K281))</f>
        <v>11824</v>
      </c>
      <c r="U281" s="33">
        <f>IF(E281="","",(I281*R281)/1000)</f>
        <v>2.24E-2</v>
      </c>
      <c r="V281" s="123">
        <f>IF(G281="",0,(G281*H281)/3600)</f>
        <v>11.906111111111111</v>
      </c>
      <c r="W281" s="45">
        <f>IFERROR(IF(E281="","",(H281/P281)),0)</f>
        <v>1.3647276084949216</v>
      </c>
      <c r="X281" s="94">
        <f>WEEKDAY(A281,1)</f>
        <v>4</v>
      </c>
      <c r="Y281" s="120">
        <f>MONTH(A281)</f>
        <v>7</v>
      </c>
      <c r="Z281" s="125">
        <f>WEEKNUM(A281)-WEEKNUM(DATE(YEAR(A281),MONTH(A281),1))+1</f>
        <v>4</v>
      </c>
      <c r="AA281" s="126">
        <f>IF(V281="",0,V281/8)</f>
        <v>1.4882638888888888</v>
      </c>
      <c r="AB281" s="125">
        <f>IF(E281="02PZ03405",0,1)</f>
        <v>1</v>
      </c>
    </row>
    <row r="282" spans="1:28" x14ac:dyDescent="0.2">
      <c r="A282" s="37">
        <v>44761</v>
      </c>
      <c r="B282" s="31" t="s">
        <v>34</v>
      </c>
      <c r="C282" s="31" t="s">
        <v>35</v>
      </c>
      <c r="D282" s="38">
        <v>4</v>
      </c>
      <c r="E282" s="39" t="s">
        <v>49</v>
      </c>
      <c r="F282" s="33" t="str">
        <f>IF(E282="","",VLOOKUP(E282,'Base Datos'!$A$2:$M$150,2,FALSE))</f>
        <v>Marco inferior pico transparente</v>
      </c>
      <c r="G282" s="99">
        <v>29</v>
      </c>
      <c r="H282" s="102">
        <v>987</v>
      </c>
      <c r="I282" s="32">
        <v>8</v>
      </c>
      <c r="J282" s="32"/>
      <c r="K282" s="31"/>
      <c r="L282" s="39">
        <v>184706</v>
      </c>
      <c r="M282" s="33">
        <f>IF(E282="","",VLOOKUP(E282,'Base Datos'!$A$2:$M$150,3,FALSE))</f>
        <v>2.25</v>
      </c>
      <c r="N282" s="23">
        <f>IF(E282="","",VLOOKUP(E282,'Base Datos'!$A$2:$M$150,4,FALSE))</f>
        <v>1596</v>
      </c>
      <c r="O282" s="23">
        <f>IF(E282="","",VLOOKUP(E282,'Base Datos'!$A$2:$M$150,5,FALSE))</f>
        <v>27</v>
      </c>
      <c r="P282" s="23">
        <f>IF(E282="","",VLOOKUP(E282,'Base Datos'!$A$2:$M$150,6,FALSE))</f>
        <v>1083</v>
      </c>
      <c r="Q282" s="23">
        <f>IF(E282="","",VLOOKUP(E282,'Base Datos'!$A$2:$M$150,7,FALSE))</f>
        <v>12</v>
      </c>
      <c r="R282" s="40">
        <f>IF(E282="","",VLOOKUP(E282,'Base Datos'!$A$2:$M$150,8,FALSE))</f>
        <v>2.8</v>
      </c>
      <c r="S282" s="40" t="str">
        <f>IF(E282="","",VLOOKUP(E282,'Base Datos'!$A$2:$M$150,9,FALSE))</f>
        <v>PP</v>
      </c>
      <c r="T282" s="33">
        <f>IF(E282="","",(H282*I282)-(J282+K282))</f>
        <v>7896</v>
      </c>
      <c r="U282" s="33">
        <f>IF(E282="","",(I282*R282)/1000)</f>
        <v>2.24E-2</v>
      </c>
      <c r="V282" s="123">
        <f>IF(G282="",0,(G282*H282)/3600)</f>
        <v>7.9508333333333336</v>
      </c>
      <c r="W282" s="45">
        <f>IFERROR(IF(E282="","",(H282/P282)),0)</f>
        <v>0.91135734072022156</v>
      </c>
      <c r="X282" s="94">
        <f>WEEKDAY(A282,1)</f>
        <v>3</v>
      </c>
      <c r="Y282" s="120">
        <f>MONTH(A282)</f>
        <v>7</v>
      </c>
      <c r="Z282" s="125">
        <f>WEEKNUM(A282)-WEEKNUM(DATE(YEAR(A282),MONTH(A282),1))+1</f>
        <v>4</v>
      </c>
      <c r="AA282" s="126">
        <f>IF(V282="",0,V282/8)</f>
        <v>0.99385416666666671</v>
      </c>
      <c r="AB282" s="125">
        <f>IF(E282="02PZ03405",0,1)</f>
        <v>1</v>
      </c>
    </row>
    <row r="283" spans="1:28" x14ac:dyDescent="0.2">
      <c r="A283" s="37">
        <v>44760</v>
      </c>
      <c r="B283" s="31" t="s">
        <v>34</v>
      </c>
      <c r="C283" s="31" t="s">
        <v>35</v>
      </c>
      <c r="D283" s="38">
        <v>4</v>
      </c>
      <c r="E283" s="39" t="s">
        <v>49</v>
      </c>
      <c r="F283" s="33" t="str">
        <f>IF(E283="","",VLOOKUP(E283,'Base Datos'!$A$2:$M$150,2,FALSE))</f>
        <v>Marco inferior pico transparente</v>
      </c>
      <c r="G283" s="99">
        <v>35</v>
      </c>
      <c r="H283" s="102">
        <v>774</v>
      </c>
      <c r="I283" s="32">
        <v>8</v>
      </c>
      <c r="J283" s="32">
        <v>0</v>
      </c>
      <c r="K283" s="31">
        <v>0</v>
      </c>
      <c r="L283" s="39">
        <v>184706</v>
      </c>
      <c r="M283" s="33">
        <f>IF(E283="","",VLOOKUP(E283,'Base Datos'!$A$2:$M$150,3,FALSE))</f>
        <v>2.25</v>
      </c>
      <c r="N283" s="23">
        <f>IF(E283="","",VLOOKUP(E283,'Base Datos'!$A$2:$M$150,4,FALSE))</f>
        <v>1596</v>
      </c>
      <c r="O283" s="23">
        <f>IF(E283="","",VLOOKUP(E283,'Base Datos'!$A$2:$M$150,5,FALSE))</f>
        <v>27</v>
      </c>
      <c r="P283" s="23">
        <f>IF(E283="","",VLOOKUP(E283,'Base Datos'!$A$2:$M$150,6,FALSE))</f>
        <v>1083</v>
      </c>
      <c r="Q283" s="23">
        <f>IF(E283="","",VLOOKUP(E283,'Base Datos'!$A$2:$M$150,7,FALSE))</f>
        <v>12</v>
      </c>
      <c r="R283" s="40">
        <f>IF(E283="","",VLOOKUP(E283,'Base Datos'!$A$2:$M$150,8,FALSE))</f>
        <v>2.8</v>
      </c>
      <c r="S283" s="40" t="str">
        <f>IF(E283="","",VLOOKUP(E283,'Base Datos'!$A$2:$M$150,9,FALSE))</f>
        <v>PP</v>
      </c>
      <c r="T283" s="33">
        <f>IF(E283="","",(H283*I283)-(J283+K283))</f>
        <v>6192</v>
      </c>
      <c r="U283" s="33">
        <f>IF(E283="","",(I283*R283)/1000)</f>
        <v>2.24E-2</v>
      </c>
      <c r="V283" s="123">
        <f>IF(G283="",0,(G283*H283)/3600)</f>
        <v>7.5250000000000004</v>
      </c>
      <c r="W283" s="45">
        <f>IFERROR(IF(E283="","",(H283/P283)),0)</f>
        <v>0.71468144044321325</v>
      </c>
      <c r="X283" s="94">
        <f>WEEKDAY(A283,1)</f>
        <v>2</v>
      </c>
      <c r="Y283" s="120">
        <f>MONTH(A283)</f>
        <v>7</v>
      </c>
      <c r="Z283" s="125">
        <f>WEEKNUM(A283)-WEEKNUM(DATE(YEAR(A283),MONTH(A283),1))+1</f>
        <v>4</v>
      </c>
      <c r="AA283" s="126">
        <f>IF(V283="",0,V283/8)</f>
        <v>0.94062500000000004</v>
      </c>
      <c r="AB283" s="125">
        <f>IF(E283="02PZ03405",0,1)</f>
        <v>1</v>
      </c>
    </row>
    <row r="284" spans="1:28" x14ac:dyDescent="0.2">
      <c r="A284" s="37">
        <v>44757</v>
      </c>
      <c r="B284" s="119" t="s">
        <v>34</v>
      </c>
      <c r="C284" s="31" t="s">
        <v>35</v>
      </c>
      <c r="D284" s="38">
        <v>4</v>
      </c>
      <c r="E284" s="39" t="s">
        <v>49</v>
      </c>
      <c r="F284" s="33" t="str">
        <f>IF(E284="","",VLOOKUP(E284,'Base Datos'!$A$2:$M$150,2,FALSE))</f>
        <v>Marco inferior pico transparente</v>
      </c>
      <c r="G284" s="99">
        <v>25</v>
      </c>
      <c r="H284" s="102">
        <v>1035</v>
      </c>
      <c r="I284" s="32">
        <v>8</v>
      </c>
      <c r="J284" s="32"/>
      <c r="K284" s="31">
        <v>200</v>
      </c>
      <c r="L284" s="39">
        <v>184706</v>
      </c>
      <c r="M284" s="33">
        <f>IF(E284="","",VLOOKUP(E284,'Base Datos'!$A$2:$M$150,3,FALSE))</f>
        <v>2.25</v>
      </c>
      <c r="N284" s="23">
        <f>IF(E284="","",VLOOKUP(E284,'Base Datos'!$A$2:$M$150,4,FALSE))</f>
        <v>1596</v>
      </c>
      <c r="O284" s="23">
        <f>IF(E284="","",VLOOKUP(E284,'Base Datos'!$A$2:$M$150,5,FALSE))</f>
        <v>27</v>
      </c>
      <c r="P284" s="23">
        <f>IF(E284="","",VLOOKUP(E284,'Base Datos'!$A$2:$M$150,6,FALSE))</f>
        <v>1083</v>
      </c>
      <c r="Q284" s="23">
        <f>IF(E284="","",VLOOKUP(E284,'Base Datos'!$A$2:$M$150,7,FALSE))</f>
        <v>12</v>
      </c>
      <c r="R284" s="40">
        <f>IF(E284="","",VLOOKUP(E284,'Base Datos'!$A$2:$M$150,8,FALSE))</f>
        <v>2.8</v>
      </c>
      <c r="S284" s="40" t="str">
        <f>IF(E284="","",VLOOKUP(E284,'Base Datos'!$A$2:$M$150,9,FALSE))</f>
        <v>PP</v>
      </c>
      <c r="T284" s="33">
        <f>IF(E284="","",(H284*I284)-(J284+K284))</f>
        <v>8080</v>
      </c>
      <c r="U284" s="33">
        <f>IF(E284="","",(I284*R284)/1000)</f>
        <v>2.24E-2</v>
      </c>
      <c r="V284" s="123">
        <f>IF(G284="",0,(G284*H284)/3600)</f>
        <v>7.1875</v>
      </c>
      <c r="W284" s="45">
        <f>IFERROR(IF(E284="","",(H284/P284)),0)</f>
        <v>0.95567867036011078</v>
      </c>
      <c r="X284" s="94">
        <f>WEEKDAY(A284,1)</f>
        <v>6</v>
      </c>
      <c r="Y284" s="120">
        <f>MONTH(A284)</f>
        <v>7</v>
      </c>
      <c r="Z284" s="125">
        <f>WEEKNUM(A284)-WEEKNUM(DATE(YEAR(A284),MONTH(A284),1))+1</f>
        <v>3</v>
      </c>
      <c r="AA284" s="126">
        <f>IF(V284="",0,V284/8)</f>
        <v>0.8984375</v>
      </c>
      <c r="AB284" s="125">
        <f>IF(E284="02PZ03405",0,1)</f>
        <v>1</v>
      </c>
    </row>
    <row r="285" spans="1:28" x14ac:dyDescent="0.2">
      <c r="A285" s="37">
        <v>44756</v>
      </c>
      <c r="B285" s="31" t="s">
        <v>86</v>
      </c>
      <c r="C285" s="31" t="s">
        <v>35</v>
      </c>
      <c r="D285" s="38">
        <v>4</v>
      </c>
      <c r="E285" s="39" t="s">
        <v>49</v>
      </c>
      <c r="F285" s="33" t="str">
        <f>IF(E285="","",VLOOKUP(E285,'Base Datos'!$A$2:$M$150,2,FALSE))</f>
        <v>Marco inferior pico transparente</v>
      </c>
      <c r="G285" s="99">
        <v>25.3</v>
      </c>
      <c r="H285" s="102">
        <v>907</v>
      </c>
      <c r="I285" s="32">
        <v>8</v>
      </c>
      <c r="J285" s="32">
        <v>0</v>
      </c>
      <c r="K285" s="31">
        <v>0</v>
      </c>
      <c r="L285" s="39">
        <v>184706</v>
      </c>
      <c r="M285" s="33">
        <f>IF(E285="","",VLOOKUP(E285,'Base Datos'!$A$2:$M$150,3,FALSE))</f>
        <v>2.25</v>
      </c>
      <c r="N285" s="23">
        <f>IF(E285="","",VLOOKUP(E285,'Base Datos'!$A$2:$M$150,4,FALSE))</f>
        <v>1596</v>
      </c>
      <c r="O285" s="23">
        <f>IF(E285="","",VLOOKUP(E285,'Base Datos'!$A$2:$M$150,5,FALSE))</f>
        <v>27</v>
      </c>
      <c r="P285" s="23">
        <f>IF(E285="","",VLOOKUP(E285,'Base Datos'!$A$2:$M$150,6,FALSE))</f>
        <v>1083</v>
      </c>
      <c r="Q285" s="23">
        <f>IF(E285="","",VLOOKUP(E285,'Base Datos'!$A$2:$M$150,7,FALSE))</f>
        <v>12</v>
      </c>
      <c r="R285" s="40">
        <f>IF(E285="","",VLOOKUP(E285,'Base Datos'!$A$2:$M$150,8,FALSE))</f>
        <v>2.8</v>
      </c>
      <c r="S285" s="40" t="str">
        <f>IF(E285="","",VLOOKUP(E285,'Base Datos'!$A$2:$M$150,9,FALSE))</f>
        <v>PP</v>
      </c>
      <c r="T285" s="33">
        <f>IF(E285="","",(H285*I285)-(J285+K285))</f>
        <v>7256</v>
      </c>
      <c r="U285" s="33">
        <f>IF(E285="","",(I285*R285)/1000)</f>
        <v>2.24E-2</v>
      </c>
      <c r="V285" s="123">
        <f>IF(G285="",0,(G285*H285)/3600)</f>
        <v>6.3741944444444449</v>
      </c>
      <c r="W285" s="45">
        <f>IFERROR(IF(E285="","",(H285/P285)),0)</f>
        <v>0.83748845798707294</v>
      </c>
      <c r="X285" s="94">
        <f>WEEKDAY(A285,1)</f>
        <v>5</v>
      </c>
      <c r="Y285" s="120">
        <f>MONTH(A285)</f>
        <v>7</v>
      </c>
      <c r="Z285" s="125">
        <f>WEEKNUM(A285)-WEEKNUM(DATE(YEAR(A285),MONTH(A285),1))+1</f>
        <v>3</v>
      </c>
      <c r="AA285" s="126">
        <f>IF(V285="",0,V285/8)</f>
        <v>0.79677430555555562</v>
      </c>
      <c r="AB285" s="125">
        <f>IF(E285="02PZ03405",0,1)</f>
        <v>1</v>
      </c>
    </row>
    <row r="286" spans="1:28" x14ac:dyDescent="0.2">
      <c r="A286" s="37">
        <v>44754</v>
      </c>
      <c r="B286" s="31" t="s">
        <v>34</v>
      </c>
      <c r="C286" s="31" t="s">
        <v>35</v>
      </c>
      <c r="D286" s="38">
        <v>4</v>
      </c>
      <c r="E286" s="39" t="s">
        <v>49</v>
      </c>
      <c r="F286" s="33" t="str">
        <f>IF(E286="","",VLOOKUP(E286,'Base Datos'!$A$2:$M$150,2,FALSE))</f>
        <v>Marco inferior pico transparente</v>
      </c>
      <c r="G286" s="32">
        <v>28.3</v>
      </c>
      <c r="H286" s="102">
        <v>1049</v>
      </c>
      <c r="I286" s="32">
        <v>8</v>
      </c>
      <c r="J286" s="32"/>
      <c r="K286" s="31">
        <v>150</v>
      </c>
      <c r="L286" s="39">
        <v>184706</v>
      </c>
      <c r="M286" s="33">
        <f>IF(E286="","",VLOOKUP(E286,'Base Datos'!$A$2:$M$150,3,FALSE))</f>
        <v>2.25</v>
      </c>
      <c r="N286" s="23">
        <f>IF(E286="","",VLOOKUP(E286,'Base Datos'!$A$2:$M$150,4,FALSE))</f>
        <v>1596</v>
      </c>
      <c r="O286" s="23">
        <f>IF(E286="","",VLOOKUP(E286,'Base Datos'!$A$2:$M$150,5,FALSE))</f>
        <v>27</v>
      </c>
      <c r="P286" s="23">
        <f>IF(E286="","",VLOOKUP(E286,'Base Datos'!$A$2:$M$150,6,FALSE))</f>
        <v>1083</v>
      </c>
      <c r="Q286" s="23">
        <f>IF(E286="","",VLOOKUP(E286,'Base Datos'!$A$2:$M$150,7,FALSE))</f>
        <v>12</v>
      </c>
      <c r="R286" s="40">
        <f>IF(E286="","",VLOOKUP(E286,'Base Datos'!$A$2:$M$150,8,FALSE))</f>
        <v>2.8</v>
      </c>
      <c r="S286" s="40" t="str">
        <f>IF(E286="","",VLOOKUP(E286,'Base Datos'!$A$2:$M$150,9,FALSE))</f>
        <v>PP</v>
      </c>
      <c r="T286" s="33">
        <f>IF(E286="","",(H286*I286)-(J286+K286))</f>
        <v>8242</v>
      </c>
      <c r="U286" s="33">
        <f>IF(E286="","",(I286*R286)/1000)</f>
        <v>2.24E-2</v>
      </c>
      <c r="V286" s="123">
        <f>IF(G286="",0,(G286*H286)/3600)</f>
        <v>8.2463055555555549</v>
      </c>
      <c r="W286" s="45">
        <f>IFERROR(IF(E286="","",(H286/P286)),0)</f>
        <v>0.96860572483841179</v>
      </c>
      <c r="X286" s="94">
        <f>WEEKDAY(A286,1)</f>
        <v>3</v>
      </c>
      <c r="Y286" s="120">
        <f>MONTH(A286)</f>
        <v>7</v>
      </c>
      <c r="Z286" s="125">
        <f>WEEKNUM(A286)-WEEKNUM(DATE(YEAR(A286),MONTH(A286),1))+1</f>
        <v>3</v>
      </c>
      <c r="AA286" s="126">
        <f>IF(V286="",0,V286/8)</f>
        <v>1.0307881944444444</v>
      </c>
      <c r="AB286" s="125">
        <f>IF(E286="02PZ03405",0,1)</f>
        <v>1</v>
      </c>
    </row>
    <row r="287" spans="1:28" x14ac:dyDescent="0.2">
      <c r="A287" s="37">
        <v>44753</v>
      </c>
      <c r="B287" s="31" t="s">
        <v>86</v>
      </c>
      <c r="C287" s="31" t="s">
        <v>35</v>
      </c>
      <c r="D287" s="38">
        <v>4</v>
      </c>
      <c r="E287" s="39" t="s">
        <v>49</v>
      </c>
      <c r="F287" s="33" t="str">
        <f>IF(E287="","",VLOOKUP(E287,'Base Datos'!$A$2:$M$150,2,FALSE))</f>
        <v>Marco inferior pico transparente</v>
      </c>
      <c r="G287" s="32">
        <v>26</v>
      </c>
      <c r="H287" s="102">
        <v>1047</v>
      </c>
      <c r="I287" s="32">
        <v>7</v>
      </c>
      <c r="J287" s="32">
        <v>0</v>
      </c>
      <c r="K287" s="31">
        <v>1</v>
      </c>
      <c r="L287" s="39">
        <v>184706</v>
      </c>
      <c r="M287" s="33">
        <f>IF(E287="","",VLOOKUP(E287,'Base Datos'!$A$2:$M$150,3,FALSE))</f>
        <v>2.25</v>
      </c>
      <c r="N287" s="23">
        <f>IF(E287="","",VLOOKUP(E287,'Base Datos'!$A$2:$M$150,4,FALSE))</f>
        <v>1596</v>
      </c>
      <c r="O287" s="23">
        <f>IF(E287="","",VLOOKUP(E287,'Base Datos'!$A$2:$M$150,5,FALSE))</f>
        <v>27</v>
      </c>
      <c r="P287" s="23">
        <f>IF(E287="","",VLOOKUP(E287,'Base Datos'!$A$2:$M$150,6,FALSE))</f>
        <v>1083</v>
      </c>
      <c r="Q287" s="23">
        <f>IF(E287="","",VLOOKUP(E287,'Base Datos'!$A$2:$M$150,7,FALSE))</f>
        <v>12</v>
      </c>
      <c r="R287" s="40">
        <f>IF(E287="","",VLOOKUP(E287,'Base Datos'!$A$2:$M$150,8,FALSE))</f>
        <v>2.8</v>
      </c>
      <c r="S287" s="40" t="str">
        <f>IF(E287="","",VLOOKUP(E287,'Base Datos'!$A$2:$M$150,9,FALSE))</f>
        <v>PP</v>
      </c>
      <c r="T287" s="33">
        <f>IF(E287="","",(H287*I287)-(J287+K287))</f>
        <v>7328</v>
      </c>
      <c r="U287" s="33">
        <f>IF(E287="","",(I287*R287)/1000)</f>
        <v>1.9599999999999999E-2</v>
      </c>
      <c r="V287" s="123">
        <f>IF(G287="",0,(G287*H287)/3600)</f>
        <v>7.5616666666666665</v>
      </c>
      <c r="W287" s="45">
        <f>IFERROR(IF(E287="","",(H287/P287)),0)</f>
        <v>0.96675900277008309</v>
      </c>
      <c r="X287" s="94">
        <f>WEEKDAY(A287,1)</f>
        <v>2</v>
      </c>
      <c r="Y287" s="120">
        <f>MONTH(A287)</f>
        <v>7</v>
      </c>
      <c r="Z287" s="125">
        <f>WEEKNUM(A287)-WEEKNUM(DATE(YEAR(A287),MONTH(A287),1))+1</f>
        <v>3</v>
      </c>
      <c r="AA287" s="126">
        <f>IF(V287="",0,V287/8)</f>
        <v>0.94520833333333332</v>
      </c>
      <c r="AB287" s="125">
        <f>IF(E287="02PZ03405",0,1)</f>
        <v>1</v>
      </c>
    </row>
    <row r="288" spans="1:28" x14ac:dyDescent="0.2">
      <c r="A288" s="37">
        <v>44750</v>
      </c>
      <c r="B288" s="31" t="s">
        <v>34</v>
      </c>
      <c r="C288" s="31" t="s">
        <v>35</v>
      </c>
      <c r="D288" s="38">
        <v>4</v>
      </c>
      <c r="E288" s="39" t="s">
        <v>49</v>
      </c>
      <c r="F288" s="33" t="str">
        <f>IF(E288="","",VLOOKUP(E288,'Base Datos'!$A$2:$M$150,2,FALSE))</f>
        <v>Marco inferior pico transparente</v>
      </c>
      <c r="G288" s="32">
        <v>28.8</v>
      </c>
      <c r="H288" s="32">
        <v>1069</v>
      </c>
      <c r="I288" s="32">
        <v>8</v>
      </c>
      <c r="J288" s="32">
        <v>0</v>
      </c>
      <c r="K288" s="31">
        <v>0</v>
      </c>
      <c r="L288" s="39">
        <v>184706</v>
      </c>
      <c r="M288" s="33">
        <f>IF(E288="","",VLOOKUP(E288,'Base Datos'!$A$2:$M$150,3,FALSE))</f>
        <v>2.25</v>
      </c>
      <c r="N288" s="23">
        <f>IF(E288="","",VLOOKUP(E288,'Base Datos'!$A$2:$M$150,4,FALSE))</f>
        <v>1596</v>
      </c>
      <c r="O288" s="23">
        <f>IF(E288="","",VLOOKUP(E288,'Base Datos'!$A$2:$M$150,5,FALSE))</f>
        <v>27</v>
      </c>
      <c r="P288" s="23">
        <f>IF(E288="","",VLOOKUP(E288,'Base Datos'!$A$2:$M$150,6,FALSE))</f>
        <v>1083</v>
      </c>
      <c r="Q288" s="23">
        <f>IF(E288="","",VLOOKUP(E288,'Base Datos'!$A$2:$M$150,7,FALSE))</f>
        <v>12</v>
      </c>
      <c r="R288" s="40">
        <f>IF(E288="","",VLOOKUP(E288,'Base Datos'!$A$2:$M$150,8,FALSE))</f>
        <v>2.8</v>
      </c>
      <c r="S288" s="40" t="str">
        <f>IF(E288="","",VLOOKUP(E288,'Base Datos'!$A$2:$M$150,9,FALSE))</f>
        <v>PP</v>
      </c>
      <c r="T288" s="33">
        <f>IF(E288="","",(H288*I288)-(J288+K288))</f>
        <v>8552</v>
      </c>
      <c r="U288" s="33">
        <f>IF(E288="","",(H288*R288)/1000)</f>
        <v>2.9931999999999999</v>
      </c>
      <c r="V288" s="123">
        <f>IF(G288="",0,(G288*H288)/3600)</f>
        <v>8.5519999999999996</v>
      </c>
      <c r="W288" s="45">
        <f>IFERROR(IF(E288="","",(H288/P288)),0)</f>
        <v>0.987072945521699</v>
      </c>
      <c r="X288" s="94">
        <f>WEEKDAY(A288,1)</f>
        <v>6</v>
      </c>
      <c r="Y288" s="120">
        <f>MONTH(A288)</f>
        <v>7</v>
      </c>
      <c r="Z288" s="125">
        <f>WEEKNUM(A288)-WEEKNUM(DATE(YEAR(A288),MONTH(A288),1))+1</f>
        <v>2</v>
      </c>
      <c r="AA288" s="126">
        <f>IF(V288="",0,V288/8)</f>
        <v>1.069</v>
      </c>
      <c r="AB288" s="125">
        <f>IF(E288="02PZ03405",0,1)</f>
        <v>1</v>
      </c>
    </row>
    <row r="289" spans="1:28" x14ac:dyDescent="0.2">
      <c r="A289" s="37">
        <v>44767</v>
      </c>
      <c r="B289" s="31" t="s">
        <v>86</v>
      </c>
      <c r="C289" s="31" t="s">
        <v>90</v>
      </c>
      <c r="D289" s="38">
        <v>4</v>
      </c>
      <c r="E289" s="39" t="s">
        <v>49</v>
      </c>
      <c r="F289" s="33" t="str">
        <f>IF(E289="","",VLOOKUP(E289,'Base Datos'!$A$2:$M$150,2,FALSE))</f>
        <v>Marco inferior pico transparente</v>
      </c>
      <c r="G289" s="99">
        <v>27.7</v>
      </c>
      <c r="H289" s="102">
        <v>791</v>
      </c>
      <c r="I289" s="32">
        <v>8</v>
      </c>
      <c r="J289" s="32"/>
      <c r="K289" s="31"/>
      <c r="L289" s="39">
        <v>184975</v>
      </c>
      <c r="M289" s="33">
        <f>IF(E289="","",VLOOKUP(E289,'Base Datos'!$A$2:$M$150,3,FALSE))</f>
        <v>2.25</v>
      </c>
      <c r="N289" s="23">
        <f>IF(E289="","",VLOOKUP(E289,'Base Datos'!$A$2:$M$150,4,FALSE))</f>
        <v>1596</v>
      </c>
      <c r="O289" s="23">
        <f>IF(E289="","",VLOOKUP(E289,'Base Datos'!$A$2:$M$150,5,FALSE))</f>
        <v>27</v>
      </c>
      <c r="P289" s="23">
        <f>IF(E289="","",VLOOKUP(E289,'Base Datos'!$A$2:$M$150,6,FALSE))</f>
        <v>1083</v>
      </c>
      <c r="Q289" s="23">
        <f>IF(E289="","",VLOOKUP(E289,'Base Datos'!$A$2:$M$150,7,FALSE))</f>
        <v>12</v>
      </c>
      <c r="R289" s="40">
        <f>IF(E289="","",VLOOKUP(E289,'Base Datos'!$A$2:$M$150,8,FALSE))</f>
        <v>2.8</v>
      </c>
      <c r="S289" s="40" t="str">
        <f>IF(E289="","",VLOOKUP(E289,'Base Datos'!$A$2:$M$150,9,FALSE))</f>
        <v>PP</v>
      </c>
      <c r="T289" s="33">
        <f>IF(E289="","",(H289*I289)-(J289+K289))</f>
        <v>6328</v>
      </c>
      <c r="U289" s="33">
        <f>IF(E289="","",(I289*R289)/1000)</f>
        <v>2.24E-2</v>
      </c>
      <c r="V289" s="123">
        <f>IF(G289="",0,(G289*H289)/3600)</f>
        <v>6.0863055555555556</v>
      </c>
      <c r="W289" s="45">
        <f>IFERROR(IF(E289="","",(H289/P289)),0)</f>
        <v>0.73037857802400741</v>
      </c>
      <c r="X289" s="94">
        <f>WEEKDAY(A289,1)</f>
        <v>2</v>
      </c>
      <c r="Y289" s="120">
        <f>MONTH(A289)</f>
        <v>7</v>
      </c>
      <c r="Z289" s="125">
        <f>WEEKNUM(A289)-WEEKNUM(DATE(YEAR(A289),MONTH(A289),1))+1</f>
        <v>5</v>
      </c>
      <c r="AA289" s="126">
        <f>IF(V289="",0,V289/8)</f>
        <v>0.76078819444444445</v>
      </c>
      <c r="AB289" s="125">
        <f>IF(E289="02PZ03405",0,1)</f>
        <v>1</v>
      </c>
    </row>
    <row r="290" spans="1:28" x14ac:dyDescent="0.2">
      <c r="A290" s="37">
        <v>44764</v>
      </c>
      <c r="B290" s="31" t="s">
        <v>86</v>
      </c>
      <c r="C290" s="31" t="s">
        <v>90</v>
      </c>
      <c r="D290" s="38">
        <v>4</v>
      </c>
      <c r="E290" s="39" t="s">
        <v>49</v>
      </c>
      <c r="F290" s="33" t="str">
        <f>IF(E290="","",VLOOKUP(E290,'Base Datos'!$A$2:$M$150,2,FALSE))</f>
        <v>Marco inferior pico transparente</v>
      </c>
      <c r="G290" s="99">
        <v>27.6</v>
      </c>
      <c r="H290" s="102">
        <v>330</v>
      </c>
      <c r="I290" s="32">
        <v>8</v>
      </c>
      <c r="J290" s="32"/>
      <c r="K290" s="31"/>
      <c r="L290" s="39">
        <v>184975</v>
      </c>
      <c r="M290" s="33">
        <f>IF(E290="","",VLOOKUP(E290,'Base Datos'!$A$2:$M$150,3,FALSE))</f>
        <v>2.25</v>
      </c>
      <c r="N290" s="23">
        <f>IF(E290="","",VLOOKUP(E290,'Base Datos'!$A$2:$M$150,4,FALSE))</f>
        <v>1596</v>
      </c>
      <c r="O290" s="23">
        <f>IF(E290="","",VLOOKUP(E290,'Base Datos'!$A$2:$M$150,5,FALSE))</f>
        <v>27</v>
      </c>
      <c r="P290" s="23">
        <f>IF(E290="","",VLOOKUP(E290,'Base Datos'!$A$2:$M$150,6,FALSE))</f>
        <v>1083</v>
      </c>
      <c r="Q290" s="23">
        <f>IF(E290="","",VLOOKUP(E290,'Base Datos'!$A$2:$M$150,7,FALSE))</f>
        <v>12</v>
      </c>
      <c r="R290" s="40">
        <f>IF(E290="","",VLOOKUP(E290,'Base Datos'!$A$2:$M$150,8,FALSE))</f>
        <v>2.8</v>
      </c>
      <c r="S290" s="40" t="str">
        <f>IF(E290="","",VLOOKUP(E290,'Base Datos'!$A$2:$M$150,9,FALSE))</f>
        <v>PP</v>
      </c>
      <c r="T290" s="33">
        <f>IF(E290="","",(H290*I290)-(J290+K290))</f>
        <v>2640</v>
      </c>
      <c r="U290" s="33">
        <f>IF(E290="","",(I290*R290)/1000)</f>
        <v>2.24E-2</v>
      </c>
      <c r="V290" s="123">
        <f>IF(G290="",0,(G290*H290)/3600)</f>
        <v>2.5299999999999998</v>
      </c>
      <c r="W290" s="45">
        <f>IFERROR(IF(E290="","",(H290/P290)),0)</f>
        <v>0.3047091412742382</v>
      </c>
      <c r="X290" s="94">
        <f>WEEKDAY(A290,1)</f>
        <v>6</v>
      </c>
      <c r="Y290" s="120">
        <f>MONTH(A290)</f>
        <v>7</v>
      </c>
      <c r="Z290" s="125">
        <f>WEEKNUM(A290)-WEEKNUM(DATE(YEAR(A290),MONTH(A290),1))+1</f>
        <v>4</v>
      </c>
      <c r="AA290" s="126">
        <f>IF(V290="",0,V290/8)</f>
        <v>0.31624999999999998</v>
      </c>
      <c r="AB290" s="125">
        <f>IF(E290="02PZ03405",0,1)</f>
        <v>1</v>
      </c>
    </row>
    <row r="291" spans="1:28" x14ac:dyDescent="0.2">
      <c r="A291" s="37">
        <v>44763</v>
      </c>
      <c r="B291" s="31" t="s">
        <v>86</v>
      </c>
      <c r="C291" s="31" t="s">
        <v>90</v>
      </c>
      <c r="D291" s="38">
        <v>4</v>
      </c>
      <c r="E291" s="39" t="s">
        <v>49</v>
      </c>
      <c r="F291" s="33" t="str">
        <f>IF(E291="","",VLOOKUP(E291,'Base Datos'!$A$2:$M$150,2,FALSE))</f>
        <v>Marco inferior pico transparente</v>
      </c>
      <c r="G291" s="99">
        <v>27.6</v>
      </c>
      <c r="H291" s="102">
        <v>909</v>
      </c>
      <c r="I291" s="32">
        <v>8</v>
      </c>
      <c r="J291" s="32"/>
      <c r="K291" s="31"/>
      <c r="L291" s="39">
        <v>184706</v>
      </c>
      <c r="M291" s="33">
        <f>IF(E291="","",VLOOKUP(E291,'Base Datos'!$A$2:$M$150,3,FALSE))</f>
        <v>2.25</v>
      </c>
      <c r="N291" s="23">
        <f>IF(E291="","",VLOOKUP(E291,'Base Datos'!$A$2:$M$150,4,FALSE))</f>
        <v>1596</v>
      </c>
      <c r="O291" s="23">
        <f>IF(E291="","",VLOOKUP(E291,'Base Datos'!$A$2:$M$150,5,FALSE))</f>
        <v>27</v>
      </c>
      <c r="P291" s="23">
        <f>IF(E291="","",VLOOKUP(E291,'Base Datos'!$A$2:$M$150,6,FALSE))</f>
        <v>1083</v>
      </c>
      <c r="Q291" s="23">
        <f>IF(E291="","",VLOOKUP(E291,'Base Datos'!$A$2:$M$150,7,FALSE))</f>
        <v>12</v>
      </c>
      <c r="R291" s="40">
        <f>IF(E291="","",VLOOKUP(E291,'Base Datos'!$A$2:$M$150,8,FALSE))</f>
        <v>2.8</v>
      </c>
      <c r="S291" s="40" t="str">
        <f>IF(E291="","",VLOOKUP(E291,'Base Datos'!$A$2:$M$150,9,FALSE))</f>
        <v>PP</v>
      </c>
      <c r="T291" s="33">
        <f>IF(E291="","",(H291*I291)-(J291+K291))</f>
        <v>7272</v>
      </c>
      <c r="U291" s="33">
        <f>IF(E291="","",(I291*R291)/1000)</f>
        <v>2.24E-2</v>
      </c>
      <c r="V291" s="123">
        <f>IF(G291="",0,(G291*H291)/3600)</f>
        <v>6.9690000000000003</v>
      </c>
      <c r="W291" s="45">
        <f>IFERROR(IF(E291="","",(H291/P291)),0)</f>
        <v>0.83933518005540164</v>
      </c>
      <c r="X291" s="94">
        <f>WEEKDAY(A291,1)</f>
        <v>5</v>
      </c>
      <c r="Y291" s="120">
        <f>MONTH(A291)</f>
        <v>7</v>
      </c>
      <c r="Z291" s="125">
        <f>WEEKNUM(A291)-WEEKNUM(DATE(YEAR(A291),MONTH(A291),1))+1</f>
        <v>4</v>
      </c>
      <c r="AA291" s="126">
        <f>IF(V291="",0,V291/8)</f>
        <v>0.87112500000000004</v>
      </c>
      <c r="AB291" s="125">
        <f>IF(E291="02PZ03405",0,1)</f>
        <v>1</v>
      </c>
    </row>
    <row r="292" spans="1:28" x14ac:dyDescent="0.2">
      <c r="A292" s="37">
        <v>44761</v>
      </c>
      <c r="B292" s="31" t="s">
        <v>86</v>
      </c>
      <c r="C292" s="31" t="s">
        <v>90</v>
      </c>
      <c r="D292" s="38">
        <v>4</v>
      </c>
      <c r="E292" s="39" t="s">
        <v>49</v>
      </c>
      <c r="F292" s="33" t="str">
        <f>IF(E292="","",VLOOKUP(E292,'Base Datos'!$A$2:$M$150,2,FALSE))</f>
        <v>Marco inferior pico transparente</v>
      </c>
      <c r="G292" s="99">
        <v>29.4</v>
      </c>
      <c r="H292" s="102">
        <v>755</v>
      </c>
      <c r="I292" s="32">
        <v>8</v>
      </c>
      <c r="J292" s="32"/>
      <c r="K292" s="31"/>
      <c r="L292" s="39">
        <v>184706</v>
      </c>
      <c r="M292" s="33">
        <f>IF(E292="","",VLOOKUP(E292,'Base Datos'!$A$2:$M$150,3,FALSE))</f>
        <v>2.25</v>
      </c>
      <c r="N292" s="23">
        <f>IF(E292="","",VLOOKUP(E292,'Base Datos'!$A$2:$M$150,4,FALSE))</f>
        <v>1596</v>
      </c>
      <c r="O292" s="23">
        <f>IF(E292="","",VLOOKUP(E292,'Base Datos'!$A$2:$M$150,5,FALSE))</f>
        <v>27</v>
      </c>
      <c r="P292" s="23">
        <f>IF(E292="","",VLOOKUP(E292,'Base Datos'!$A$2:$M$150,6,FALSE))</f>
        <v>1083</v>
      </c>
      <c r="Q292" s="23">
        <f>IF(E292="","",VLOOKUP(E292,'Base Datos'!$A$2:$M$150,7,FALSE))</f>
        <v>12</v>
      </c>
      <c r="R292" s="40">
        <f>IF(E292="","",VLOOKUP(E292,'Base Datos'!$A$2:$M$150,8,FALSE))</f>
        <v>2.8</v>
      </c>
      <c r="S292" s="40" t="str">
        <f>IF(E292="","",VLOOKUP(E292,'Base Datos'!$A$2:$M$150,9,FALSE))</f>
        <v>PP</v>
      </c>
      <c r="T292" s="33">
        <f>IF(E292="","",(H292*I292)-(J292+K292))</f>
        <v>6040</v>
      </c>
      <c r="U292" s="33">
        <f>IF(E292="","",(I292*R292)/1000)</f>
        <v>2.24E-2</v>
      </c>
      <c r="V292" s="123">
        <f>IF(G292="",0,(G292*H292)/3600)</f>
        <v>6.1658333333333335</v>
      </c>
      <c r="W292" s="45">
        <f>IFERROR(IF(E292="","",(H292/P292)),0)</f>
        <v>0.69713758079409049</v>
      </c>
      <c r="X292" s="94">
        <f>WEEKDAY(A292,1)</f>
        <v>3</v>
      </c>
      <c r="Y292" s="120">
        <f>MONTH(A292)</f>
        <v>7</v>
      </c>
      <c r="Z292" s="125">
        <f>WEEKNUM(A292)-WEEKNUM(DATE(YEAR(A292),MONTH(A292),1))+1</f>
        <v>4</v>
      </c>
      <c r="AA292" s="126">
        <f>IF(V292="",0,V292/8)</f>
        <v>0.77072916666666669</v>
      </c>
      <c r="AB292" s="125">
        <f>IF(E292="02PZ03405",0,1)</f>
        <v>1</v>
      </c>
    </row>
    <row r="293" spans="1:28" x14ac:dyDescent="0.2">
      <c r="A293" s="37">
        <v>44760</v>
      </c>
      <c r="B293" s="31" t="s">
        <v>86</v>
      </c>
      <c r="C293" s="31" t="s">
        <v>90</v>
      </c>
      <c r="D293" s="38">
        <v>4</v>
      </c>
      <c r="E293" s="39" t="s">
        <v>49</v>
      </c>
      <c r="F293" s="33" t="str">
        <f>IF(E293="","",VLOOKUP(E293,'Base Datos'!$A$2:$M$150,2,FALSE))</f>
        <v>Marco inferior pico transparente</v>
      </c>
      <c r="G293" s="99">
        <v>31</v>
      </c>
      <c r="H293" s="102">
        <v>33</v>
      </c>
      <c r="I293" s="32">
        <v>8</v>
      </c>
      <c r="J293" s="32"/>
      <c r="K293" s="31">
        <v>150</v>
      </c>
      <c r="L293" s="39">
        <v>184706</v>
      </c>
      <c r="M293" s="33">
        <f>IF(E293="","",VLOOKUP(E293,'Base Datos'!$A$2:$M$150,3,FALSE))</f>
        <v>2.25</v>
      </c>
      <c r="N293" s="23">
        <f>IF(E293="","",VLOOKUP(E293,'Base Datos'!$A$2:$M$150,4,FALSE))</f>
        <v>1596</v>
      </c>
      <c r="O293" s="23">
        <f>IF(E293="","",VLOOKUP(E293,'Base Datos'!$A$2:$M$150,5,FALSE))</f>
        <v>27</v>
      </c>
      <c r="P293" s="23">
        <f>IF(E293="","",VLOOKUP(E293,'Base Datos'!$A$2:$M$150,6,FALSE))</f>
        <v>1083</v>
      </c>
      <c r="Q293" s="23">
        <f>IF(E293="","",VLOOKUP(E293,'Base Datos'!$A$2:$M$150,7,FALSE))</f>
        <v>12</v>
      </c>
      <c r="R293" s="40">
        <f>IF(E293="","",VLOOKUP(E293,'Base Datos'!$A$2:$M$150,8,FALSE))</f>
        <v>2.8</v>
      </c>
      <c r="S293" s="40" t="str">
        <f>IF(E293="","",VLOOKUP(E293,'Base Datos'!$A$2:$M$150,9,FALSE))</f>
        <v>PP</v>
      </c>
      <c r="T293" s="33">
        <f>IF(E293="","",(H293*I293)-(J293+K293))</f>
        <v>114</v>
      </c>
      <c r="U293" s="33">
        <f>IF(E293="","",(I293*R293)/1000)</f>
        <v>2.24E-2</v>
      </c>
      <c r="V293" s="123">
        <f>IF(G293="",0,(G293*H293)/3600)</f>
        <v>0.28416666666666668</v>
      </c>
      <c r="W293" s="45">
        <f>IFERROR(IF(E293="","",(H293/P293)),0)</f>
        <v>3.0470914127423823E-2</v>
      </c>
      <c r="X293" s="94">
        <f>WEEKDAY(A293,1)</f>
        <v>2</v>
      </c>
      <c r="Y293" s="120">
        <f>MONTH(A293)</f>
        <v>7</v>
      </c>
      <c r="Z293" s="125">
        <f>WEEKNUM(A293)-WEEKNUM(DATE(YEAR(A293),MONTH(A293),1))+1</f>
        <v>4</v>
      </c>
      <c r="AA293" s="126">
        <f>IF(V293="",0,V293/8)</f>
        <v>3.5520833333333335E-2</v>
      </c>
      <c r="AB293" s="125">
        <f>IF(E293="02PZ03405",0,1)</f>
        <v>1</v>
      </c>
    </row>
    <row r="294" spans="1:28" x14ac:dyDescent="0.2">
      <c r="A294" s="101">
        <v>44754</v>
      </c>
      <c r="B294" s="31" t="s">
        <v>86</v>
      </c>
      <c r="C294" s="31" t="s">
        <v>90</v>
      </c>
      <c r="D294" s="38">
        <v>4</v>
      </c>
      <c r="E294" s="39" t="s">
        <v>49</v>
      </c>
      <c r="F294" s="33" t="str">
        <f>IF(E294="","",VLOOKUP(E294,'Base Datos'!$A$2:$M$150,2,FALSE))</f>
        <v>Marco inferior pico transparente</v>
      </c>
      <c r="G294" s="99">
        <v>28</v>
      </c>
      <c r="H294" s="102">
        <v>926</v>
      </c>
      <c r="I294" s="32">
        <v>8</v>
      </c>
      <c r="J294" s="32">
        <v>0</v>
      </c>
      <c r="K294" s="31">
        <v>0</v>
      </c>
      <c r="L294" s="39">
        <v>184706</v>
      </c>
      <c r="M294" s="33">
        <f>IF(E294="","",VLOOKUP(E294,'Base Datos'!$A$2:$M$150,3,FALSE))</f>
        <v>2.25</v>
      </c>
      <c r="N294" s="23">
        <f>IF(E294="","",VLOOKUP(E294,'Base Datos'!$A$2:$M$150,4,FALSE))</f>
        <v>1596</v>
      </c>
      <c r="O294" s="23">
        <f>IF(E294="","",VLOOKUP(E294,'Base Datos'!$A$2:$M$150,5,FALSE))</f>
        <v>27</v>
      </c>
      <c r="P294" s="23">
        <f>IF(E294="","",VLOOKUP(E294,'Base Datos'!$A$2:$M$150,6,FALSE))</f>
        <v>1083</v>
      </c>
      <c r="Q294" s="23">
        <f>IF(E294="","",VLOOKUP(E294,'Base Datos'!$A$2:$M$150,7,FALSE))</f>
        <v>12</v>
      </c>
      <c r="R294" s="40">
        <f>IF(E294="","",VLOOKUP(E294,'Base Datos'!$A$2:$M$150,8,FALSE))</f>
        <v>2.8</v>
      </c>
      <c r="S294" s="40" t="str">
        <f>IF(E294="","",VLOOKUP(E294,'Base Datos'!$A$2:$M$150,9,FALSE))</f>
        <v>PP</v>
      </c>
      <c r="T294" s="33">
        <f>IF(E294="","",(H294*I294)-(J294+K294))</f>
        <v>7408</v>
      </c>
      <c r="U294" s="33">
        <f>IF(E294="","",(I294*R294)/1000)</f>
        <v>2.24E-2</v>
      </c>
      <c r="V294" s="123">
        <f>IF(G294="",0,(G294*H294)/3600)</f>
        <v>7.2022222222222219</v>
      </c>
      <c r="W294" s="45">
        <f>IFERROR(IF(E294="","",(H294/P294)),0)</f>
        <v>0.8550323176361958</v>
      </c>
      <c r="X294" s="94">
        <f>WEEKDAY(A294,1)</f>
        <v>3</v>
      </c>
      <c r="Y294" s="120">
        <f>MONTH(A294)</f>
        <v>7</v>
      </c>
      <c r="Z294" s="125">
        <f>WEEKNUM(A294)-WEEKNUM(DATE(YEAR(A294),MONTH(A294),1))+1</f>
        <v>3</v>
      </c>
      <c r="AA294" s="126">
        <f>IF(V294="",0,V294/8)</f>
        <v>0.90027777777777773</v>
      </c>
      <c r="AB294" s="125">
        <f>IF(E294="02PZ03405",0,1)</f>
        <v>1</v>
      </c>
    </row>
    <row r="295" spans="1:28" x14ac:dyDescent="0.2">
      <c r="A295" s="37">
        <v>44753</v>
      </c>
      <c r="B295" s="31" t="s">
        <v>34</v>
      </c>
      <c r="C295" s="31" t="s">
        <v>90</v>
      </c>
      <c r="D295" s="38">
        <v>4</v>
      </c>
      <c r="E295" s="39" t="s">
        <v>49</v>
      </c>
      <c r="F295" s="33" t="str">
        <f>IF(E295="","",VLOOKUP(E295,'Base Datos'!$A$2:$M$150,2,FALSE))</f>
        <v>Marco inferior pico transparente</v>
      </c>
      <c r="G295" s="32">
        <v>26.2</v>
      </c>
      <c r="H295" s="102">
        <v>1012</v>
      </c>
      <c r="I295" s="32">
        <v>7</v>
      </c>
      <c r="J295" s="32"/>
      <c r="K295" s="31"/>
      <c r="L295" s="39">
        <v>184706</v>
      </c>
      <c r="M295" s="33">
        <f>IF(E295="","",VLOOKUP(E295,'Base Datos'!$A$2:$M$150,3,FALSE))</f>
        <v>2.25</v>
      </c>
      <c r="N295" s="23">
        <f>IF(E295="","",VLOOKUP(E295,'Base Datos'!$A$2:$M$150,4,FALSE))</f>
        <v>1596</v>
      </c>
      <c r="O295" s="23">
        <f>IF(E295="","",VLOOKUP(E295,'Base Datos'!$A$2:$M$150,5,FALSE))</f>
        <v>27</v>
      </c>
      <c r="P295" s="23">
        <f>IF(E295="","",VLOOKUP(E295,'Base Datos'!$A$2:$M$150,6,FALSE))</f>
        <v>1083</v>
      </c>
      <c r="Q295" s="23">
        <f>IF(E295="","",VLOOKUP(E295,'Base Datos'!$A$2:$M$150,7,FALSE))</f>
        <v>12</v>
      </c>
      <c r="R295" s="40">
        <f>IF(E295="","",VLOOKUP(E295,'Base Datos'!$A$2:$M$150,8,FALSE))</f>
        <v>2.8</v>
      </c>
      <c r="S295" s="40" t="str">
        <f>IF(E295="","",VLOOKUP(E295,'Base Datos'!$A$2:$M$150,9,FALSE))</f>
        <v>PP</v>
      </c>
      <c r="T295" s="33">
        <f>IF(E295="","",(H295*I295)-(J295+K295))</f>
        <v>7084</v>
      </c>
      <c r="U295" s="33">
        <f>IF(E295="","",(I295*R295)/1000)</f>
        <v>1.9599999999999999E-2</v>
      </c>
      <c r="V295" s="123">
        <f>IF(G295="",0,(G295*H295)/3600)</f>
        <v>7.3651111111111103</v>
      </c>
      <c r="W295" s="45">
        <f>IFERROR(IF(E295="","",(H295/P295)),0)</f>
        <v>0.93444136657433052</v>
      </c>
      <c r="X295" s="94">
        <f>WEEKDAY(A295,1)</f>
        <v>2</v>
      </c>
      <c r="Y295" s="120">
        <f>MONTH(A295)</f>
        <v>7</v>
      </c>
      <c r="Z295" s="125">
        <f>WEEKNUM(A295)-WEEKNUM(DATE(YEAR(A295),MONTH(A295),1))+1</f>
        <v>3</v>
      </c>
      <c r="AA295" s="126">
        <f>IF(V295="",0,V295/8)</f>
        <v>0.92063888888888878</v>
      </c>
      <c r="AB295" s="125">
        <f>IF(E295="02PZ03405",0,1)</f>
        <v>1</v>
      </c>
    </row>
    <row r="296" spans="1:28" x14ac:dyDescent="0.2">
      <c r="A296" s="37">
        <v>44767</v>
      </c>
      <c r="B296" s="31" t="s">
        <v>87</v>
      </c>
      <c r="C296" s="31" t="s">
        <v>93</v>
      </c>
      <c r="D296" s="38">
        <v>4</v>
      </c>
      <c r="E296" s="39" t="s">
        <v>49</v>
      </c>
      <c r="F296" s="33" t="str">
        <f>IF(E296="","",VLOOKUP(E296,'Base Datos'!$A$2:$M$150,2,FALSE))</f>
        <v>Marco inferior pico transparente</v>
      </c>
      <c r="G296" s="99">
        <v>28</v>
      </c>
      <c r="H296" s="102">
        <v>1000</v>
      </c>
      <c r="I296" s="32">
        <v>8</v>
      </c>
      <c r="J296" s="32">
        <v>0</v>
      </c>
      <c r="K296" s="31">
        <v>0</v>
      </c>
      <c r="L296" s="39">
        <v>184975</v>
      </c>
      <c r="M296" s="33">
        <f>IF(E296="","",VLOOKUP(E296,'Base Datos'!$A$2:$M$150,3,FALSE))</f>
        <v>2.25</v>
      </c>
      <c r="N296" s="23">
        <f>IF(E296="","",VLOOKUP(E296,'Base Datos'!$A$2:$M$150,4,FALSE))</f>
        <v>1596</v>
      </c>
      <c r="O296" s="23">
        <f>IF(E296="","",VLOOKUP(E296,'Base Datos'!$A$2:$M$150,5,FALSE))</f>
        <v>27</v>
      </c>
      <c r="P296" s="23">
        <f>IF(E296="","",VLOOKUP(E296,'Base Datos'!$A$2:$M$150,6,FALSE))</f>
        <v>1083</v>
      </c>
      <c r="Q296" s="23">
        <f>IF(E296="","",VLOOKUP(E296,'Base Datos'!$A$2:$M$150,7,FALSE))</f>
        <v>12</v>
      </c>
      <c r="R296" s="40">
        <f>IF(E296="","",VLOOKUP(E296,'Base Datos'!$A$2:$M$150,8,FALSE))</f>
        <v>2.8</v>
      </c>
      <c r="S296" s="40" t="str">
        <f>IF(E296="","",VLOOKUP(E296,'Base Datos'!$A$2:$M$150,9,FALSE))</f>
        <v>PP</v>
      </c>
      <c r="T296" s="33">
        <f>IF(E296="","",(H296*I296)-(J296+K296))</f>
        <v>8000</v>
      </c>
      <c r="U296" s="33">
        <f>IF(E296="","",(I296*R296)/1000)</f>
        <v>2.24E-2</v>
      </c>
      <c r="V296" s="123">
        <f>IF(G296="",0,(G296*H296)/3600)</f>
        <v>7.7777777777777777</v>
      </c>
      <c r="W296" s="45">
        <f>IFERROR(IF(E296="","",(H296/P296)),0)</f>
        <v>0.92336103416435822</v>
      </c>
      <c r="X296" s="94">
        <f>WEEKDAY(A296,1)</f>
        <v>2</v>
      </c>
      <c r="Y296" s="120">
        <f>MONTH(A296)</f>
        <v>7</v>
      </c>
      <c r="Z296" s="125">
        <f>WEEKNUM(A296)-WEEKNUM(DATE(YEAR(A296),MONTH(A296),1))+1</f>
        <v>5</v>
      </c>
      <c r="AA296" s="126">
        <f>IF(V296="",0,V296/8)</f>
        <v>0.97222222222222221</v>
      </c>
      <c r="AB296" s="125">
        <f>IF(E296="02PZ03405",0,1)</f>
        <v>1</v>
      </c>
    </row>
    <row r="297" spans="1:28" x14ac:dyDescent="0.2">
      <c r="A297" s="37">
        <v>44768</v>
      </c>
      <c r="B297" s="31" t="s">
        <v>87</v>
      </c>
      <c r="C297" s="31" t="s">
        <v>92</v>
      </c>
      <c r="D297" s="38">
        <v>4</v>
      </c>
      <c r="E297" s="39" t="s">
        <v>73</v>
      </c>
      <c r="F297" s="33" t="str">
        <f>IF(E297="","",VLOOKUP(E297,'Base Datos'!$A$2:$M$150,2,FALSE))</f>
        <v>Marco inferior pico NEGRO</v>
      </c>
      <c r="G297" s="99">
        <v>27</v>
      </c>
      <c r="H297" s="102">
        <v>1000</v>
      </c>
      <c r="I297" s="32">
        <v>8</v>
      </c>
      <c r="J297" s="32">
        <v>0</v>
      </c>
      <c r="K297" s="31">
        <v>0</v>
      </c>
      <c r="L297" s="39">
        <v>184975</v>
      </c>
      <c r="M297" s="33">
        <f>IF(E297="","",VLOOKUP(E297,'Base Datos'!$A$2:$M$150,3,FALSE))</f>
        <v>2.25</v>
      </c>
      <c r="N297" s="23">
        <f>IF(E297="","",VLOOKUP(E297,'Base Datos'!$A$2:$M$150,4,FALSE))</f>
        <v>1596</v>
      </c>
      <c r="O297" s="23">
        <f>IF(E297="","",VLOOKUP(E297,'Base Datos'!$A$2:$M$150,5,FALSE))</f>
        <v>27</v>
      </c>
      <c r="P297" s="23">
        <f>IF(E297="","",VLOOKUP(E297,'Base Datos'!$A$2:$M$150,6,FALSE))</f>
        <v>1083</v>
      </c>
      <c r="Q297" s="23">
        <f>IF(E297="","",VLOOKUP(E297,'Base Datos'!$A$2:$M$150,7,FALSE))</f>
        <v>12</v>
      </c>
      <c r="R297" s="40">
        <f>IF(E297="","",VLOOKUP(E297,'Base Datos'!$A$2:$M$150,8,FALSE))</f>
        <v>2.8</v>
      </c>
      <c r="S297" s="40" t="str">
        <f>IF(E297="","",VLOOKUP(E297,'Base Datos'!$A$2:$M$150,9,FALSE))</f>
        <v>PP</v>
      </c>
      <c r="T297" s="33">
        <f>IF(E297="","",(H297*I297)-(J297+K297))</f>
        <v>8000</v>
      </c>
      <c r="U297" s="33">
        <f>IF(E297="","",(I297*R297)/1000)</f>
        <v>2.24E-2</v>
      </c>
      <c r="V297" s="123">
        <f>IF(G297="",0,(G297*H297)/3600)</f>
        <v>7.5</v>
      </c>
      <c r="W297" s="45">
        <f>IFERROR(IF(E297="","",(H297/P297)),0)</f>
        <v>0.92336103416435822</v>
      </c>
      <c r="X297" s="94">
        <f>WEEKDAY(A297,1)</f>
        <v>3</v>
      </c>
      <c r="Y297" s="120">
        <f>MONTH(A297)</f>
        <v>7</v>
      </c>
      <c r="Z297" s="125">
        <f>WEEKNUM(A297)-WEEKNUM(DATE(YEAR(A297),MONTH(A297),1))+1</f>
        <v>5</v>
      </c>
      <c r="AA297" s="126">
        <f>IF(V297="",0,V297/8)</f>
        <v>0.9375</v>
      </c>
      <c r="AB297" s="125">
        <f>IF(E297="02PZ03405",0,1)</f>
        <v>1</v>
      </c>
    </row>
    <row r="298" spans="1:28" x14ac:dyDescent="0.2">
      <c r="A298" s="37">
        <v>44769</v>
      </c>
      <c r="B298" s="31" t="s">
        <v>34</v>
      </c>
      <c r="C298" s="31" t="s">
        <v>35</v>
      </c>
      <c r="D298" s="38">
        <v>4</v>
      </c>
      <c r="E298" s="39" t="s">
        <v>73</v>
      </c>
      <c r="F298" s="33" t="str">
        <f>IF(E298="","",VLOOKUP(E298,'Base Datos'!$A$2:$M$150,2,FALSE))</f>
        <v>Marco inferior pico NEGRO</v>
      </c>
      <c r="G298" s="99">
        <v>27.5</v>
      </c>
      <c r="H298" s="102">
        <v>995</v>
      </c>
      <c r="I298" s="32">
        <v>8</v>
      </c>
      <c r="J298" s="32"/>
      <c r="K298" s="31"/>
      <c r="L298" s="39">
        <v>184975</v>
      </c>
      <c r="M298" s="33">
        <f>IF(E298="","",VLOOKUP(E298,'Base Datos'!$A$2:$M$150,3,FALSE))</f>
        <v>2.25</v>
      </c>
      <c r="N298" s="23">
        <f>IF(E298="","",VLOOKUP(E298,'Base Datos'!$A$2:$M$150,4,FALSE))</f>
        <v>1596</v>
      </c>
      <c r="O298" s="23">
        <f>IF(E298="","",VLOOKUP(E298,'Base Datos'!$A$2:$M$150,5,FALSE))</f>
        <v>27</v>
      </c>
      <c r="P298" s="23">
        <f>IF(E298="","",VLOOKUP(E298,'Base Datos'!$A$2:$M$150,6,FALSE))</f>
        <v>1083</v>
      </c>
      <c r="Q298" s="23">
        <f>IF(E298="","",VLOOKUP(E298,'Base Datos'!$A$2:$M$150,7,FALSE))</f>
        <v>12</v>
      </c>
      <c r="R298" s="40">
        <f>IF(E298="","",VLOOKUP(E298,'Base Datos'!$A$2:$M$150,8,FALSE))</f>
        <v>2.8</v>
      </c>
      <c r="S298" s="40" t="str">
        <f>IF(E298="","",VLOOKUP(E298,'Base Datos'!$A$2:$M$150,9,FALSE))</f>
        <v>PP</v>
      </c>
      <c r="T298" s="33">
        <f>IF(E298="","",(H298*I298)-(J298+K298))</f>
        <v>7960</v>
      </c>
      <c r="U298" s="33">
        <f>IF(E298="","",(I298*R298)/1000)</f>
        <v>2.24E-2</v>
      </c>
      <c r="V298" s="123">
        <f>IF(G298="",0,(G298*H298)/3600)</f>
        <v>7.6006944444444446</v>
      </c>
      <c r="W298" s="45">
        <f>IFERROR(IF(E298="","",(H298/P298)),0)</f>
        <v>0.91874422899353647</v>
      </c>
      <c r="X298" s="94">
        <f>WEEKDAY(A298,1)</f>
        <v>4</v>
      </c>
      <c r="Y298" s="120">
        <f>MONTH(A298)</f>
        <v>7</v>
      </c>
      <c r="Z298" s="125">
        <f>WEEKNUM(A298)-WEEKNUM(DATE(YEAR(A298),MONTH(A298),1))+1</f>
        <v>5</v>
      </c>
      <c r="AA298" s="126">
        <f>IF(V298="",0,V298/8)</f>
        <v>0.95008680555555558</v>
      </c>
      <c r="AB298" s="125">
        <f>IF(E298="02PZ03405",0,1)</f>
        <v>1</v>
      </c>
    </row>
    <row r="299" spans="1:28" x14ac:dyDescent="0.2">
      <c r="A299" s="37">
        <v>44768</v>
      </c>
      <c r="B299" s="31" t="s">
        <v>34</v>
      </c>
      <c r="C299" s="31" t="s">
        <v>35</v>
      </c>
      <c r="D299" s="38">
        <v>4</v>
      </c>
      <c r="E299" s="39" t="s">
        <v>73</v>
      </c>
      <c r="F299" s="33" t="str">
        <f>IF(E299="","",VLOOKUP(E299,'Base Datos'!$A$2:$M$150,2,FALSE))</f>
        <v>Marco inferior pico NEGRO</v>
      </c>
      <c r="G299" s="99">
        <v>32</v>
      </c>
      <c r="H299" s="102">
        <v>764</v>
      </c>
      <c r="I299" s="32">
        <v>8</v>
      </c>
      <c r="J299" s="32"/>
      <c r="K299" s="31"/>
      <c r="L299" s="39">
        <v>184975</v>
      </c>
      <c r="M299" s="33">
        <f>IF(E299="","",VLOOKUP(E299,'Base Datos'!$A$2:$M$150,3,FALSE))</f>
        <v>2.25</v>
      </c>
      <c r="N299" s="23">
        <f>IF(E299="","",VLOOKUP(E299,'Base Datos'!$A$2:$M$150,4,FALSE))</f>
        <v>1596</v>
      </c>
      <c r="O299" s="23">
        <f>IF(E299="","",VLOOKUP(E299,'Base Datos'!$A$2:$M$150,5,FALSE))</f>
        <v>27</v>
      </c>
      <c r="P299" s="23">
        <f>IF(E299="","",VLOOKUP(E299,'Base Datos'!$A$2:$M$150,6,FALSE))</f>
        <v>1083</v>
      </c>
      <c r="Q299" s="23">
        <f>IF(E299="","",VLOOKUP(E299,'Base Datos'!$A$2:$M$150,7,FALSE))</f>
        <v>12</v>
      </c>
      <c r="R299" s="40">
        <f>IF(E299="","",VLOOKUP(E299,'Base Datos'!$A$2:$M$150,8,FALSE))</f>
        <v>2.8</v>
      </c>
      <c r="S299" s="40" t="str">
        <f>IF(E299="","",VLOOKUP(E299,'Base Datos'!$A$2:$M$150,9,FALSE))</f>
        <v>PP</v>
      </c>
      <c r="T299" s="33">
        <f>IF(E299="","",(H299*I299)-(J299+K299))</f>
        <v>6112</v>
      </c>
      <c r="U299" s="33">
        <f>IF(E299="","",(I299*R299)/1000)</f>
        <v>2.24E-2</v>
      </c>
      <c r="V299" s="123">
        <f>IF(G299="",0,(G299*H299)/3600)</f>
        <v>6.7911111111111113</v>
      </c>
      <c r="W299" s="45">
        <f>IFERROR(IF(E299="","",(H299/P299)),0)</f>
        <v>0.70544783010156975</v>
      </c>
      <c r="X299" s="94">
        <f>WEEKDAY(A299,1)</f>
        <v>3</v>
      </c>
      <c r="Y299" s="120">
        <f>MONTH(A299)</f>
        <v>7</v>
      </c>
      <c r="Z299" s="125">
        <f>WEEKNUM(A299)-WEEKNUM(DATE(YEAR(A299),MONTH(A299),1))+1</f>
        <v>5</v>
      </c>
      <c r="AA299" s="126">
        <f>IF(V299="",0,V299/8)</f>
        <v>0.84888888888888892</v>
      </c>
      <c r="AB299" s="125">
        <f>IF(E299="02PZ03405",0,1)</f>
        <v>1</v>
      </c>
    </row>
    <row r="300" spans="1:28" x14ac:dyDescent="0.2">
      <c r="A300" s="37">
        <v>44771</v>
      </c>
      <c r="B300" s="31" t="s">
        <v>86</v>
      </c>
      <c r="C300" s="31" t="s">
        <v>90</v>
      </c>
      <c r="D300" s="38">
        <v>4</v>
      </c>
      <c r="E300" s="39" t="s">
        <v>73</v>
      </c>
      <c r="F300" s="33" t="str">
        <f>IF(E300="","",VLOOKUP(E300,'Base Datos'!$A$2:$M$150,2,FALSE))</f>
        <v>Marco inferior pico NEGRO</v>
      </c>
      <c r="G300" s="99">
        <v>38</v>
      </c>
      <c r="H300" s="102">
        <v>208</v>
      </c>
      <c r="I300" s="32">
        <v>6</v>
      </c>
      <c r="J300" s="32"/>
      <c r="K300" s="31"/>
      <c r="L300" s="39">
        <v>184975</v>
      </c>
      <c r="M300" s="33">
        <f>IF(E300="","",VLOOKUP(E300,'Base Datos'!$A$2:$M$150,3,FALSE))</f>
        <v>2.25</v>
      </c>
      <c r="N300" s="23">
        <f>IF(E300="","",VLOOKUP(E300,'Base Datos'!$A$2:$M$150,4,FALSE))</f>
        <v>1596</v>
      </c>
      <c r="O300" s="23">
        <f>IF(E300="","",VLOOKUP(E300,'Base Datos'!$A$2:$M$150,5,FALSE))</f>
        <v>27</v>
      </c>
      <c r="P300" s="23">
        <f>IF(E300="","",VLOOKUP(E300,'Base Datos'!$A$2:$M$150,6,FALSE))</f>
        <v>1083</v>
      </c>
      <c r="Q300" s="23">
        <f>IF(E300="","",VLOOKUP(E300,'Base Datos'!$A$2:$M$150,7,FALSE))</f>
        <v>12</v>
      </c>
      <c r="R300" s="40">
        <f>IF(E300="","",VLOOKUP(E300,'Base Datos'!$A$2:$M$150,8,FALSE))</f>
        <v>2.8</v>
      </c>
      <c r="S300" s="40" t="str">
        <f>IF(E300="","",VLOOKUP(E300,'Base Datos'!$A$2:$M$150,9,FALSE))</f>
        <v>PP</v>
      </c>
      <c r="T300" s="33">
        <f>IF(E300="","",(H300*I300)-(J300+K300))</f>
        <v>1248</v>
      </c>
      <c r="U300" s="33">
        <f>IF(E300="","",(I300*R300)/1000)</f>
        <v>1.6799999999999995E-2</v>
      </c>
      <c r="V300" s="123">
        <f>IF(G300="",0,(G300*H300)/3600)</f>
        <v>2.1955555555555555</v>
      </c>
      <c r="W300" s="45">
        <f>IFERROR(IF(E300="","",(H300/P300)),0)</f>
        <v>0.19205909510618652</v>
      </c>
      <c r="X300" s="94">
        <f>WEEKDAY(A300,1)</f>
        <v>6</v>
      </c>
      <c r="Y300" s="120">
        <f>MONTH(A300)</f>
        <v>7</v>
      </c>
      <c r="Z300" s="125">
        <f>WEEKNUM(A300)-WEEKNUM(DATE(YEAR(A300),MONTH(A300),1))+1</f>
        <v>5</v>
      </c>
      <c r="AA300" s="126">
        <f>IF(V300="",0,V300/8)</f>
        <v>0.27444444444444444</v>
      </c>
      <c r="AB300" s="125">
        <f>IF(E300="02PZ03405",0,1)</f>
        <v>1</v>
      </c>
    </row>
    <row r="301" spans="1:28" x14ac:dyDescent="0.2">
      <c r="A301" s="37">
        <v>44771</v>
      </c>
      <c r="B301" s="31" t="s">
        <v>34</v>
      </c>
      <c r="C301" s="31" t="s">
        <v>90</v>
      </c>
      <c r="D301" s="38">
        <v>4</v>
      </c>
      <c r="E301" s="39" t="s">
        <v>73</v>
      </c>
      <c r="F301" s="33" t="s">
        <v>66</v>
      </c>
      <c r="G301" s="99">
        <v>37</v>
      </c>
      <c r="H301" s="102">
        <v>768</v>
      </c>
      <c r="I301" s="32">
        <v>6</v>
      </c>
      <c r="J301" s="32"/>
      <c r="K301" s="31"/>
      <c r="L301" s="39">
        <v>184975</v>
      </c>
      <c r="M301" s="33">
        <f>IF(E301="","",VLOOKUP(E301,'Base Datos'!$A$2:$M$150,3,FALSE))</f>
        <v>2.25</v>
      </c>
      <c r="N301" s="23">
        <f>IF(E301="","",VLOOKUP(E301,'Base Datos'!$A$2:$M$150,4,FALSE))</f>
        <v>1596</v>
      </c>
      <c r="O301" s="23">
        <f>IF(E301="","",VLOOKUP(E301,'Base Datos'!$A$2:$M$150,5,FALSE))</f>
        <v>27</v>
      </c>
      <c r="P301" s="23">
        <f>IF(E301="","",VLOOKUP(E301,'Base Datos'!$A$2:$M$150,6,FALSE))</f>
        <v>1083</v>
      </c>
      <c r="Q301" s="23">
        <f>IF(E301="","",VLOOKUP(E301,'Base Datos'!$A$2:$M$150,7,FALSE))</f>
        <v>12</v>
      </c>
      <c r="R301" s="40">
        <f>IF(E301="","",VLOOKUP(E301,'Base Datos'!$A$2:$M$150,8,FALSE))</f>
        <v>2.8</v>
      </c>
      <c r="S301" s="40" t="str">
        <f>IF(E301="","",VLOOKUP(E301,'Base Datos'!$A$2:$M$150,9,FALSE))</f>
        <v>PP</v>
      </c>
      <c r="T301" s="33">
        <f>IF(E301="","",(H301*I301)-(J301+K301))</f>
        <v>4608</v>
      </c>
      <c r="U301" s="33">
        <f>IF(E301="","",(I301*R301)/1000)</f>
        <v>1.6799999999999995E-2</v>
      </c>
      <c r="V301" s="123">
        <f>IF(G301="",0,(G301*H301)/3600)</f>
        <v>7.8933333333333335</v>
      </c>
      <c r="W301" s="45">
        <f>IFERROR(IF(E301="","",(H301/P301)),0)</f>
        <v>0.70914127423822715</v>
      </c>
      <c r="X301" s="94">
        <f>WEEKDAY(A301,1)</f>
        <v>6</v>
      </c>
      <c r="Y301" s="120">
        <f>MONTH(A301)</f>
        <v>7</v>
      </c>
      <c r="Z301" s="125">
        <f>WEEKNUM(A301)-WEEKNUM(DATE(YEAR(A301),MONTH(A301),1))+1</f>
        <v>5</v>
      </c>
      <c r="AA301" s="126">
        <f>IF(V301="",0,V301/8)</f>
        <v>0.98666666666666669</v>
      </c>
      <c r="AB301" s="125">
        <f>IF(E301="02PZ03405",0,1)</f>
        <v>1</v>
      </c>
    </row>
    <row r="302" spans="1:28" x14ac:dyDescent="0.2">
      <c r="A302" s="37">
        <v>44769</v>
      </c>
      <c r="B302" s="31" t="s">
        <v>87</v>
      </c>
      <c r="C302" s="31" t="s">
        <v>92</v>
      </c>
      <c r="D302" s="38">
        <v>4</v>
      </c>
      <c r="E302" s="39" t="s">
        <v>76</v>
      </c>
      <c r="F302" s="33" t="str">
        <f>IF(E302="","",VLOOKUP(E302,'Base Datos'!$A$2:$M$150,2,FALSE))</f>
        <v>Marco inferior pico BLANCO</v>
      </c>
      <c r="G302" s="99">
        <v>30</v>
      </c>
      <c r="H302" s="102">
        <v>250</v>
      </c>
      <c r="I302" s="32">
        <v>8</v>
      </c>
      <c r="J302" s="32"/>
      <c r="K302" s="31">
        <v>0</v>
      </c>
      <c r="L302" s="39">
        <v>184975</v>
      </c>
      <c r="M302" s="33">
        <f>IF(E302="","",VLOOKUP(E302,'Base Datos'!$A$2:$M$150,3,FALSE))</f>
        <v>2.25</v>
      </c>
      <c r="N302" s="23">
        <f>IF(E302="","",VLOOKUP(E302,'Base Datos'!$A$2:$M$150,4,FALSE))</f>
        <v>1596</v>
      </c>
      <c r="O302" s="23">
        <f>IF(E302="","",VLOOKUP(E302,'Base Datos'!$A$2:$M$150,5,FALSE))</f>
        <v>27</v>
      </c>
      <c r="P302" s="23">
        <f>IF(E302="","",VLOOKUP(E302,'Base Datos'!$A$2:$M$150,6,FALSE))</f>
        <v>1083</v>
      </c>
      <c r="Q302" s="23">
        <f>IF(E302="","",VLOOKUP(E302,'Base Datos'!$A$2:$M$150,7,FALSE))</f>
        <v>12</v>
      </c>
      <c r="R302" s="40">
        <f>IF(E302="","",VLOOKUP(E302,'Base Datos'!$A$2:$M$150,8,FALSE))</f>
        <v>2.8</v>
      </c>
      <c r="S302" s="40" t="str">
        <f>IF(E302="","",VLOOKUP(E302,'Base Datos'!$A$2:$M$150,9,FALSE))</f>
        <v>PP</v>
      </c>
      <c r="T302" s="33">
        <f>IF(E302="","",(H302*I302)-(J302+K302))</f>
        <v>2000</v>
      </c>
      <c r="U302" s="33">
        <f>IF(E302="","",(I302*R302)/1000)</f>
        <v>2.24E-2</v>
      </c>
      <c r="V302" s="123">
        <f>IF(G302="",0,(G302*H302)/3600)</f>
        <v>2.0833333333333335</v>
      </c>
      <c r="W302" s="45">
        <f>IFERROR(IF(E302="","",(H302/P302)),0)</f>
        <v>0.23084025854108955</v>
      </c>
      <c r="X302" s="94">
        <f>WEEKDAY(A302,1)</f>
        <v>4</v>
      </c>
      <c r="Y302" s="120">
        <f>MONTH(A302)</f>
        <v>7</v>
      </c>
      <c r="Z302" s="125">
        <f>WEEKNUM(A302)-WEEKNUM(DATE(YEAR(A302),MONTH(A302),1))+1</f>
        <v>5</v>
      </c>
      <c r="AA302" s="126">
        <f>IF(V302="",0,V302/8)</f>
        <v>0.26041666666666669</v>
      </c>
      <c r="AB302" s="125">
        <f>IF(E302="02PZ03405",0,1)</f>
        <v>1</v>
      </c>
    </row>
    <row r="303" spans="1:28" x14ac:dyDescent="0.2">
      <c r="A303" s="37">
        <v>44769</v>
      </c>
      <c r="B303" s="31" t="s">
        <v>86</v>
      </c>
      <c r="C303" s="31" t="s">
        <v>88</v>
      </c>
      <c r="D303" s="38">
        <v>4</v>
      </c>
      <c r="E303" s="39" t="s">
        <v>76</v>
      </c>
      <c r="F303" s="33" t="str">
        <f>IF(E303="","",VLOOKUP(E303,'Base Datos'!$A$2:$M$150,2,FALSE))</f>
        <v>Marco inferior pico BLANCO</v>
      </c>
      <c r="G303" s="99">
        <v>27</v>
      </c>
      <c r="H303" s="102">
        <v>773</v>
      </c>
      <c r="I303" s="32">
        <v>8</v>
      </c>
      <c r="J303" s="32"/>
      <c r="K303" s="31"/>
      <c r="L303" s="39">
        <v>184975</v>
      </c>
      <c r="M303" s="33">
        <f>IF(E303="","",VLOOKUP(E303,'Base Datos'!$A$2:$M$150,3,FALSE))</f>
        <v>2.25</v>
      </c>
      <c r="N303" s="23">
        <f>IF(E303="","",VLOOKUP(E303,'Base Datos'!$A$2:$M$150,4,FALSE))</f>
        <v>1596</v>
      </c>
      <c r="O303" s="23">
        <f>IF(E303="","",VLOOKUP(E303,'Base Datos'!$A$2:$M$150,5,FALSE))</f>
        <v>27</v>
      </c>
      <c r="P303" s="23">
        <f>IF(E303="","",VLOOKUP(E303,'Base Datos'!$A$2:$M$150,6,FALSE))</f>
        <v>1083</v>
      </c>
      <c r="Q303" s="23">
        <f>IF(E303="","",VLOOKUP(E303,'Base Datos'!$A$2:$M$150,7,FALSE))</f>
        <v>12</v>
      </c>
      <c r="R303" s="40">
        <f>IF(E303="","",VLOOKUP(E303,'Base Datos'!$A$2:$M$150,8,FALSE))</f>
        <v>2.8</v>
      </c>
      <c r="S303" s="40" t="str">
        <f>IF(E303="","",VLOOKUP(E303,'Base Datos'!$A$2:$M$150,9,FALSE))</f>
        <v>PP</v>
      </c>
      <c r="T303" s="33">
        <f>IF(E303="","",(H303*I303)-(J303+K303))</f>
        <v>6184</v>
      </c>
      <c r="U303" s="33">
        <f>IF(E303="","",(I303*R303)/1000)</f>
        <v>2.24E-2</v>
      </c>
      <c r="V303" s="123">
        <f>IF(G303="",0,(G303*H303)/3600)</f>
        <v>5.7975000000000003</v>
      </c>
      <c r="W303" s="45">
        <f>IFERROR(IF(E303="","",(H303/P303)),0)</f>
        <v>0.7137580794090489</v>
      </c>
      <c r="X303" s="94">
        <f>WEEKDAY(A303,1)</f>
        <v>4</v>
      </c>
      <c r="Y303" s="120">
        <f>MONTH(A303)</f>
        <v>7</v>
      </c>
      <c r="Z303" s="125">
        <f>WEEKNUM(A303)-WEEKNUM(DATE(YEAR(A303),MONTH(A303),1))+1</f>
        <v>5</v>
      </c>
      <c r="AA303" s="126">
        <f>IF(V303="",0,V303/8)</f>
        <v>0.72468750000000004</v>
      </c>
      <c r="AB303" s="125">
        <f>IF(E303="02PZ03405",0,1)</f>
        <v>1</v>
      </c>
    </row>
    <row r="304" spans="1:28" x14ac:dyDescent="0.2">
      <c r="A304" s="37">
        <v>44777</v>
      </c>
      <c r="B304" s="31" t="s">
        <v>34</v>
      </c>
      <c r="C304" s="31" t="s">
        <v>89</v>
      </c>
      <c r="D304" s="38">
        <v>2</v>
      </c>
      <c r="E304" s="39" t="s">
        <v>64</v>
      </c>
      <c r="F304" s="33" t="str">
        <f>IF(E304="","",VLOOKUP(E304,'Base Datos'!$A$2:$M$150,2,FALSE))</f>
        <v>Lata Baja Glitter</v>
      </c>
      <c r="G304" s="99">
        <v>45</v>
      </c>
      <c r="H304" s="102">
        <v>635</v>
      </c>
      <c r="I304" s="32">
        <v>1</v>
      </c>
      <c r="J304" s="32"/>
      <c r="K304" s="31">
        <v>10</v>
      </c>
      <c r="L304" s="39">
        <v>184975</v>
      </c>
      <c r="M304" s="33">
        <f>IF(E304="","",VLOOKUP(E304,'Base Datos'!$A$2:$M$150,3,FALSE))</f>
        <v>35</v>
      </c>
      <c r="N304" s="23">
        <f>IF(E304="","",VLOOKUP(E304,'Base Datos'!$A$2:$M$150,4,FALSE))</f>
        <v>103</v>
      </c>
      <c r="O304" s="23">
        <f>IF(E304="","",VLOOKUP(E304,'Base Datos'!$A$2:$M$150,5,FALSE))</f>
        <v>35</v>
      </c>
      <c r="P304" s="23">
        <f>IF(E304="","",VLOOKUP(E304,'Base Datos'!$A$2:$M$150,6,FALSE))</f>
        <v>824</v>
      </c>
      <c r="Q304" s="23">
        <f>IF(E304="","",VLOOKUP(E304,'Base Datos'!$A$2:$M$150,7,FALSE))</f>
        <v>1</v>
      </c>
      <c r="R304" s="40">
        <f>IF(E304="","",VLOOKUP(E304,'Base Datos'!$A$2:$M$150,8,FALSE))</f>
        <v>65</v>
      </c>
      <c r="S304" s="40" t="str">
        <f>IF(E304="","",VLOOKUP(E304,'Base Datos'!$A$2:$M$150,9,FALSE))</f>
        <v>PP</v>
      </c>
      <c r="T304" s="33">
        <f>IF(E304="","",(H304*I304)-(J304+K304))</f>
        <v>625</v>
      </c>
      <c r="U304" s="33">
        <f>IF(E304="","",(I304*R304)/1000)</f>
        <v>6.5000000000000002E-2</v>
      </c>
      <c r="V304" s="123">
        <f>IF(G304="",0,(G304*H304)/3600)</f>
        <v>7.9375</v>
      </c>
      <c r="W304" s="45">
        <f>IFERROR(IF(E304="","",(H304/P304)),0)</f>
        <v>0.77063106796116509</v>
      </c>
      <c r="X304" s="23">
        <f>WEEKDAY(A304,1)</f>
        <v>5</v>
      </c>
      <c r="Y304" s="120">
        <f>MONTH(A304)</f>
        <v>8</v>
      </c>
      <c r="Z304" s="125">
        <f>WEEKNUM(A304)-WEEKNUM(DATE(YEAR(A304),MONTH(A304),1))+1</f>
        <v>1</v>
      </c>
      <c r="AA304" s="126">
        <f>IF(V304="",0,V304/8)</f>
        <v>0.9921875</v>
      </c>
      <c r="AB304" s="125">
        <f>IF(E304="02PZ03405",0,1)</f>
        <v>1</v>
      </c>
    </row>
    <row r="305" spans="1:28" x14ac:dyDescent="0.2">
      <c r="A305" s="37">
        <v>44776</v>
      </c>
      <c r="B305" s="31" t="s">
        <v>34</v>
      </c>
      <c r="C305" s="31" t="s">
        <v>89</v>
      </c>
      <c r="D305" s="38">
        <v>2</v>
      </c>
      <c r="E305" s="39" t="s">
        <v>64</v>
      </c>
      <c r="F305" s="33" t="str">
        <f>IF(E305="","",VLOOKUP(E305,'Base Datos'!$A$2:$M$150,2,FALSE))</f>
        <v>Lata Baja Glitter</v>
      </c>
      <c r="G305" s="99">
        <v>41.8</v>
      </c>
      <c r="H305" s="102">
        <v>738</v>
      </c>
      <c r="I305" s="32">
        <v>1</v>
      </c>
      <c r="J305" s="32"/>
      <c r="K305" s="31"/>
      <c r="L305" s="39">
        <v>184975</v>
      </c>
      <c r="M305" s="33">
        <f>IF(E305="","",VLOOKUP(E305,'Base Datos'!$A$2:$M$150,3,FALSE))</f>
        <v>35</v>
      </c>
      <c r="N305" s="23">
        <f>IF(E305="","",VLOOKUP(E305,'Base Datos'!$A$2:$M$150,4,FALSE))</f>
        <v>103</v>
      </c>
      <c r="O305" s="23">
        <f>IF(E305="","",VLOOKUP(E305,'Base Datos'!$A$2:$M$150,5,FALSE))</f>
        <v>35</v>
      </c>
      <c r="P305" s="23">
        <f>IF(E305="","",VLOOKUP(E305,'Base Datos'!$A$2:$M$150,6,FALSE))</f>
        <v>824</v>
      </c>
      <c r="Q305" s="23">
        <f>IF(E305="","",VLOOKUP(E305,'Base Datos'!$A$2:$M$150,7,FALSE))</f>
        <v>1</v>
      </c>
      <c r="R305" s="40">
        <f>IF(E305="","",VLOOKUP(E305,'Base Datos'!$A$2:$M$150,8,FALSE))</f>
        <v>65</v>
      </c>
      <c r="S305" s="40" t="str">
        <f>IF(E305="","",VLOOKUP(E305,'Base Datos'!$A$2:$M$150,9,FALSE))</f>
        <v>PP</v>
      </c>
      <c r="T305" s="33">
        <f>IF(E305="","",(H305*I305)-(J305+K305))</f>
        <v>738</v>
      </c>
      <c r="U305" s="33">
        <f>IF(E305="","",(I305*R305)/1000)</f>
        <v>6.5000000000000002E-2</v>
      </c>
      <c r="V305" s="123">
        <f>IF(G305="",0,(G305*H305)/3600)</f>
        <v>8.5689999999999991</v>
      </c>
      <c r="W305" s="45">
        <f>IFERROR(IF(E305="","",(H305/P305)),0)</f>
        <v>0.89563106796116509</v>
      </c>
      <c r="X305" s="23">
        <f>WEEKDAY(A305,1)</f>
        <v>4</v>
      </c>
      <c r="Y305" s="120">
        <f>MONTH(A305)</f>
        <v>8</v>
      </c>
      <c r="Z305" s="125">
        <f>WEEKNUM(A305)-WEEKNUM(DATE(YEAR(A305),MONTH(A305),1))+1</f>
        <v>1</v>
      </c>
      <c r="AA305" s="126">
        <f>IF(V305="",0,V305/8)</f>
        <v>1.0711249999999999</v>
      </c>
      <c r="AB305" s="125">
        <f>IF(E305="02PZ03405",0,1)</f>
        <v>1</v>
      </c>
    </row>
    <row r="306" spans="1:28" x14ac:dyDescent="0.2">
      <c r="A306" s="37">
        <v>44775</v>
      </c>
      <c r="B306" s="31" t="s">
        <v>34</v>
      </c>
      <c r="C306" s="31" t="s">
        <v>89</v>
      </c>
      <c r="D306" s="38">
        <v>2</v>
      </c>
      <c r="E306" s="39" t="s">
        <v>64</v>
      </c>
      <c r="F306" s="33" t="str">
        <f>IF(E306="","",VLOOKUP(E306,'Base Datos'!$A$2:$M$150,2,FALSE))</f>
        <v>Lata Baja Glitter</v>
      </c>
      <c r="G306" s="99">
        <v>39</v>
      </c>
      <c r="H306" s="102">
        <v>650</v>
      </c>
      <c r="I306" s="32">
        <v>1</v>
      </c>
      <c r="J306" s="32"/>
      <c r="K306" s="31">
        <v>20</v>
      </c>
      <c r="L306" s="39">
        <v>184975</v>
      </c>
      <c r="M306" s="33">
        <f>IF(E306="","",VLOOKUP(E306,'Base Datos'!$A$2:$M$150,3,FALSE))</f>
        <v>35</v>
      </c>
      <c r="N306" s="23">
        <f>IF(E306="","",VLOOKUP(E306,'Base Datos'!$A$2:$M$150,4,FALSE))</f>
        <v>103</v>
      </c>
      <c r="O306" s="23">
        <f>IF(E306="","",VLOOKUP(E306,'Base Datos'!$A$2:$M$150,5,FALSE))</f>
        <v>35</v>
      </c>
      <c r="P306" s="23">
        <f>IF(E306="","",VLOOKUP(E306,'Base Datos'!$A$2:$M$150,6,FALSE))</f>
        <v>824</v>
      </c>
      <c r="Q306" s="23">
        <f>IF(E306="","",VLOOKUP(E306,'Base Datos'!$A$2:$M$150,7,FALSE))</f>
        <v>1</v>
      </c>
      <c r="R306" s="40">
        <f>IF(E306="","",VLOOKUP(E306,'Base Datos'!$A$2:$M$150,8,FALSE))</f>
        <v>65</v>
      </c>
      <c r="S306" s="40" t="str">
        <f>IF(E306="","",VLOOKUP(E306,'Base Datos'!$A$2:$M$150,9,FALSE))</f>
        <v>PP</v>
      </c>
      <c r="T306" s="33">
        <f>IF(E306="","",(H306*I306)-(J306+K306))</f>
        <v>630</v>
      </c>
      <c r="U306" s="33">
        <f>IF(E306="","",(I306*R306)/1000)</f>
        <v>6.5000000000000002E-2</v>
      </c>
      <c r="V306" s="123">
        <f>IF(G306="",0,(G306*H306)/3600)</f>
        <v>7.041666666666667</v>
      </c>
      <c r="W306" s="45">
        <f>IFERROR(IF(E306="","",(H306/P306)),0)</f>
        <v>0.78883495145631066</v>
      </c>
      <c r="X306" s="94">
        <f>WEEKDAY(A306,1)</f>
        <v>3</v>
      </c>
      <c r="Y306" s="120">
        <f>MONTH(A306)</f>
        <v>8</v>
      </c>
      <c r="Z306" s="125">
        <f>WEEKNUM(A306)-WEEKNUM(DATE(YEAR(A306),MONTH(A306),1))+1</f>
        <v>1</v>
      </c>
      <c r="AA306" s="126">
        <f>IF(V306="",0,V306/8)</f>
        <v>0.88020833333333337</v>
      </c>
      <c r="AB306" s="125">
        <f>IF(E306="02PZ03405",0,1)</f>
        <v>1</v>
      </c>
    </row>
    <row r="307" spans="1:28" x14ac:dyDescent="0.2">
      <c r="A307" s="37">
        <v>44774</v>
      </c>
      <c r="B307" s="31" t="s">
        <v>34</v>
      </c>
      <c r="C307" s="31" t="s">
        <v>35</v>
      </c>
      <c r="D307" s="38">
        <v>2</v>
      </c>
      <c r="E307" s="39" t="s">
        <v>64</v>
      </c>
      <c r="F307" s="33" t="str">
        <f>IF(E307="","",VLOOKUP(E307,'Base Datos'!$A$2:$M$150,2,FALSE))</f>
        <v>Lata Baja Glitter</v>
      </c>
      <c r="G307" s="99">
        <v>39</v>
      </c>
      <c r="H307" s="102">
        <v>490</v>
      </c>
      <c r="I307" s="32">
        <v>1</v>
      </c>
      <c r="J307" s="32"/>
      <c r="K307" s="31">
        <v>15</v>
      </c>
      <c r="L307" s="39">
        <v>184975</v>
      </c>
      <c r="M307" s="33">
        <f>IF(E307="","",VLOOKUP(E307,'Base Datos'!$A$2:$M$150,3,FALSE))</f>
        <v>35</v>
      </c>
      <c r="N307" s="23">
        <f>IF(E307="","",VLOOKUP(E307,'Base Datos'!$A$2:$M$150,4,FALSE))</f>
        <v>103</v>
      </c>
      <c r="O307" s="23">
        <f>IF(E307="","",VLOOKUP(E307,'Base Datos'!$A$2:$M$150,5,FALSE))</f>
        <v>35</v>
      </c>
      <c r="P307" s="23">
        <f>IF(E307="","",VLOOKUP(E307,'Base Datos'!$A$2:$M$150,6,FALSE))</f>
        <v>824</v>
      </c>
      <c r="Q307" s="23">
        <f>IF(E307="","",VLOOKUP(E307,'Base Datos'!$A$2:$M$150,7,FALSE))</f>
        <v>1</v>
      </c>
      <c r="R307" s="40">
        <f>IF(E307="","",VLOOKUP(E307,'Base Datos'!$A$2:$M$150,8,FALSE))</f>
        <v>65</v>
      </c>
      <c r="S307" s="40" t="str">
        <f>IF(E307="","",VLOOKUP(E307,'Base Datos'!$A$2:$M$150,9,FALSE))</f>
        <v>PP</v>
      </c>
      <c r="T307" s="33">
        <f>IF(E307="","",(H307*I307)-(J307+K307))</f>
        <v>475</v>
      </c>
      <c r="U307" s="33">
        <f>IF(E307="","",(I307*R307)/1000)</f>
        <v>6.5000000000000002E-2</v>
      </c>
      <c r="V307" s="123">
        <f>IF(G307="",0,(G307*H307)/3600)</f>
        <v>5.3083333333333336</v>
      </c>
      <c r="W307" s="45">
        <f>IFERROR(IF(E307="","",(H307/P307)),0)</f>
        <v>0.59466019417475724</v>
      </c>
      <c r="X307" s="94">
        <f>WEEKDAY(A307,1)</f>
        <v>2</v>
      </c>
      <c r="Y307" s="120">
        <f>MONTH(A307)</f>
        <v>8</v>
      </c>
      <c r="Z307" s="125">
        <f>WEEKNUM(A307)-WEEKNUM(DATE(YEAR(A307),MONTH(A307),1))+1</f>
        <v>1</v>
      </c>
      <c r="AA307" s="126">
        <f>IF(V307="",0,V307/8)</f>
        <v>0.6635416666666667</v>
      </c>
      <c r="AB307" s="125">
        <f>IF(E307="02PZ03405",0,1)</f>
        <v>1</v>
      </c>
    </row>
    <row r="308" spans="1:28" x14ac:dyDescent="0.2">
      <c r="A308" s="37">
        <v>44777</v>
      </c>
      <c r="B308" s="31" t="s">
        <v>86</v>
      </c>
      <c r="C308" s="31" t="s">
        <v>91</v>
      </c>
      <c r="D308" s="38">
        <v>2</v>
      </c>
      <c r="E308" s="39" t="s">
        <v>64</v>
      </c>
      <c r="F308" s="33" t="str">
        <f>IF(E308="","",VLOOKUP(E308,'Base Datos'!$A$2:$M$150,2,FALSE))</f>
        <v>Lata Baja Glitter</v>
      </c>
      <c r="G308" s="99">
        <v>39.9</v>
      </c>
      <c r="H308" s="102">
        <v>678</v>
      </c>
      <c r="I308" s="32">
        <v>1</v>
      </c>
      <c r="J308" s="32">
        <v>27</v>
      </c>
      <c r="K308" s="31">
        <v>0</v>
      </c>
      <c r="L308" s="39">
        <v>184975</v>
      </c>
      <c r="M308" s="33">
        <f>IF(E308="","",VLOOKUP(E308,'Base Datos'!$A$2:$M$150,3,FALSE))</f>
        <v>35</v>
      </c>
      <c r="N308" s="23">
        <f>IF(E308="","",VLOOKUP(E308,'Base Datos'!$A$2:$M$150,4,FALSE))</f>
        <v>103</v>
      </c>
      <c r="O308" s="23">
        <f>IF(E308="","",VLOOKUP(E308,'Base Datos'!$A$2:$M$150,5,FALSE))</f>
        <v>35</v>
      </c>
      <c r="P308" s="23">
        <f>IF(E308="","",VLOOKUP(E308,'Base Datos'!$A$2:$M$150,6,FALSE))</f>
        <v>824</v>
      </c>
      <c r="Q308" s="23">
        <f>IF(E308="","",VLOOKUP(E308,'Base Datos'!$A$2:$M$150,7,FALSE))</f>
        <v>1</v>
      </c>
      <c r="R308" s="40">
        <f>IF(E308="","",VLOOKUP(E308,'Base Datos'!$A$2:$M$150,8,FALSE))</f>
        <v>65</v>
      </c>
      <c r="S308" s="40" t="str">
        <f>IF(E308="","",VLOOKUP(E308,'Base Datos'!$A$2:$M$150,9,FALSE))</f>
        <v>PP</v>
      </c>
      <c r="T308" s="33">
        <f>IF(E308="","",(H308*I308)-(J308+K308))</f>
        <v>651</v>
      </c>
      <c r="U308" s="33">
        <f>IF(E308="","",(I308*R308)/1000)</f>
        <v>6.5000000000000002E-2</v>
      </c>
      <c r="V308" s="123">
        <f>IF(G308="",0,(G308*H308)/3600)</f>
        <v>7.5145</v>
      </c>
      <c r="W308" s="45">
        <f>IFERROR(IF(E308="","",(H308/P308)),0)</f>
        <v>0.82281553398058249</v>
      </c>
      <c r="X308" s="23">
        <f>WEEKDAY(A308,1)</f>
        <v>5</v>
      </c>
      <c r="Y308" s="120">
        <f>MONTH(A308)</f>
        <v>8</v>
      </c>
      <c r="Z308" s="125">
        <f>WEEKNUM(A308)-WEEKNUM(DATE(YEAR(A308),MONTH(A308),1))+1</f>
        <v>1</v>
      </c>
      <c r="AA308" s="126">
        <f>IF(V308="",0,V308/8)</f>
        <v>0.93931249999999999</v>
      </c>
      <c r="AB308" s="125">
        <f>IF(E308="02PZ03405",0,1)</f>
        <v>1</v>
      </c>
    </row>
    <row r="309" spans="1:28" x14ac:dyDescent="0.2">
      <c r="A309" s="37">
        <v>44776</v>
      </c>
      <c r="B309" s="31" t="s">
        <v>86</v>
      </c>
      <c r="C309" s="31" t="s">
        <v>91</v>
      </c>
      <c r="D309" s="38">
        <v>2</v>
      </c>
      <c r="E309" s="39" t="s">
        <v>64</v>
      </c>
      <c r="F309" s="33" t="str">
        <f>IF(E309="","",VLOOKUP(E309,'Base Datos'!$A$2:$M$150,2,FALSE))</f>
        <v>Lata Baja Glitter</v>
      </c>
      <c r="G309" s="99">
        <v>41.8</v>
      </c>
      <c r="H309" s="102">
        <v>589</v>
      </c>
      <c r="I309" s="32">
        <v>1</v>
      </c>
      <c r="J309" s="32">
        <v>31</v>
      </c>
      <c r="K309" s="31">
        <v>0</v>
      </c>
      <c r="L309" s="39">
        <v>184975</v>
      </c>
      <c r="M309" s="33">
        <f>IF(E309="","",VLOOKUP(E309,'Base Datos'!$A$2:$M$150,3,FALSE))</f>
        <v>35</v>
      </c>
      <c r="N309" s="23">
        <f>IF(E309="","",VLOOKUP(E309,'Base Datos'!$A$2:$M$150,4,FALSE))</f>
        <v>103</v>
      </c>
      <c r="O309" s="23">
        <f>IF(E309="","",VLOOKUP(E309,'Base Datos'!$A$2:$M$150,5,FALSE))</f>
        <v>35</v>
      </c>
      <c r="P309" s="23">
        <f>IF(E309="","",VLOOKUP(E309,'Base Datos'!$A$2:$M$150,6,FALSE))</f>
        <v>824</v>
      </c>
      <c r="Q309" s="23">
        <f>IF(E309="","",VLOOKUP(E309,'Base Datos'!$A$2:$M$150,7,FALSE))</f>
        <v>1</v>
      </c>
      <c r="R309" s="40">
        <f>IF(E309="","",VLOOKUP(E309,'Base Datos'!$A$2:$M$150,8,FALSE))</f>
        <v>65</v>
      </c>
      <c r="S309" s="40" t="str">
        <f>IF(E309="","",VLOOKUP(E309,'Base Datos'!$A$2:$M$150,9,FALSE))</f>
        <v>PP</v>
      </c>
      <c r="T309" s="33">
        <f>IF(E309="","",(H309*I309)-(J309+K309))</f>
        <v>558</v>
      </c>
      <c r="U309" s="33">
        <f>IF(E309="","",(I309*R309)/1000)</f>
        <v>6.5000000000000002E-2</v>
      </c>
      <c r="V309" s="123">
        <f>IF(G309="",0,(G309*H309)/3600)</f>
        <v>6.8389444444444436</v>
      </c>
      <c r="W309" s="45">
        <f>IFERROR(IF(E309="","",(H309/P309)),0)</f>
        <v>0.71480582524271841</v>
      </c>
      <c r="X309" s="23">
        <f>WEEKDAY(A309,1)</f>
        <v>4</v>
      </c>
      <c r="Y309" s="120">
        <f>MONTH(A309)</f>
        <v>8</v>
      </c>
      <c r="Z309" s="125">
        <f>WEEKNUM(A309)-WEEKNUM(DATE(YEAR(A309),MONTH(A309),1))+1</f>
        <v>1</v>
      </c>
      <c r="AA309" s="126">
        <f>IF(V309="",0,V309/8)</f>
        <v>0.85486805555555545</v>
      </c>
      <c r="AB309" s="125">
        <f>IF(E309="02PZ03405",0,1)</f>
        <v>1</v>
      </c>
    </row>
    <row r="310" spans="1:28" x14ac:dyDescent="0.2">
      <c r="A310" s="37">
        <v>44775</v>
      </c>
      <c r="B310" s="31" t="s">
        <v>86</v>
      </c>
      <c r="C310" s="31" t="s">
        <v>91</v>
      </c>
      <c r="D310" s="38">
        <v>1</v>
      </c>
      <c r="E310" s="39" t="s">
        <v>64</v>
      </c>
      <c r="F310" s="33" t="str">
        <f>IF(E310="","",VLOOKUP(E310,'Base Datos'!$A$2:$M$150,2,FALSE))</f>
        <v>Lata Baja Glitter</v>
      </c>
      <c r="G310" s="99">
        <v>40</v>
      </c>
      <c r="H310" s="102">
        <v>624</v>
      </c>
      <c r="I310" s="32">
        <v>1</v>
      </c>
      <c r="J310" s="32">
        <v>0</v>
      </c>
      <c r="K310" s="31">
        <v>2</v>
      </c>
      <c r="L310" s="39">
        <v>184975</v>
      </c>
      <c r="M310" s="33">
        <f>IF(E310="","",VLOOKUP(E310,'Base Datos'!$A$2:$M$150,3,FALSE))</f>
        <v>35</v>
      </c>
      <c r="N310" s="23">
        <f>IF(E310="","",VLOOKUP(E310,'Base Datos'!$A$2:$M$150,4,FALSE))</f>
        <v>103</v>
      </c>
      <c r="O310" s="23">
        <f>IF(E310="","",VLOOKUP(E310,'Base Datos'!$A$2:$M$150,5,FALSE))</f>
        <v>35</v>
      </c>
      <c r="P310" s="23">
        <f>IF(E310="","",VLOOKUP(E310,'Base Datos'!$A$2:$M$150,6,FALSE))</f>
        <v>824</v>
      </c>
      <c r="Q310" s="23">
        <f>IF(E310="","",VLOOKUP(E310,'Base Datos'!$A$2:$M$150,7,FALSE))</f>
        <v>1</v>
      </c>
      <c r="R310" s="40">
        <f>IF(E310="","",VLOOKUP(E310,'Base Datos'!$A$2:$M$150,8,FALSE))</f>
        <v>65</v>
      </c>
      <c r="S310" s="40" t="str">
        <f>IF(E310="","",VLOOKUP(E310,'Base Datos'!$A$2:$M$150,9,FALSE))</f>
        <v>PP</v>
      </c>
      <c r="T310" s="33">
        <f>IF(E310="","",(H310*I310)-(J310+K310))</f>
        <v>622</v>
      </c>
      <c r="U310" s="33">
        <f>IF(E310="","",(I310*R310)/1000)</f>
        <v>6.5000000000000002E-2</v>
      </c>
      <c r="V310" s="123">
        <f>IF(G310="",0,(G310*H310)/3600)</f>
        <v>6.9333333333333336</v>
      </c>
      <c r="W310" s="45">
        <f>IFERROR(IF(E310="","",(H310/P310)),0)</f>
        <v>0.75728155339805825</v>
      </c>
      <c r="X310" s="94">
        <f>WEEKDAY(A310,1)</f>
        <v>3</v>
      </c>
      <c r="Y310" s="120">
        <f>MONTH(A310)</f>
        <v>8</v>
      </c>
      <c r="Z310" s="125">
        <f>WEEKNUM(A310)-WEEKNUM(DATE(YEAR(A310),MONTH(A310),1))+1</f>
        <v>1</v>
      </c>
      <c r="AA310" s="126">
        <f>IF(V310="",0,V310/8)</f>
        <v>0.8666666666666667</v>
      </c>
      <c r="AB310" s="125">
        <f>IF(E310="02PZ03405",0,1)</f>
        <v>1</v>
      </c>
    </row>
    <row r="311" spans="1:28" x14ac:dyDescent="0.2">
      <c r="A311" s="37">
        <v>44774</v>
      </c>
      <c r="B311" s="31" t="s">
        <v>86</v>
      </c>
      <c r="C311" s="31" t="s">
        <v>91</v>
      </c>
      <c r="D311" s="38">
        <v>2</v>
      </c>
      <c r="E311" s="39" t="s">
        <v>64</v>
      </c>
      <c r="F311" s="33" t="str">
        <f>IF(E311="","",VLOOKUP(E311,'Base Datos'!$A$2:$M$150,2,FALSE))</f>
        <v>Lata Baja Glitter</v>
      </c>
      <c r="G311" s="99">
        <v>34.200000000000003</v>
      </c>
      <c r="H311" s="102">
        <v>720</v>
      </c>
      <c r="I311" s="32">
        <v>1</v>
      </c>
      <c r="J311" s="32">
        <v>6</v>
      </c>
      <c r="K311" s="31">
        <v>1</v>
      </c>
      <c r="L311" s="39">
        <v>184975</v>
      </c>
      <c r="M311" s="33">
        <f>IF(E311="","",VLOOKUP(E311,'Base Datos'!$A$2:$M$150,3,FALSE))</f>
        <v>35</v>
      </c>
      <c r="N311" s="23">
        <f>IF(E311="","",VLOOKUP(E311,'Base Datos'!$A$2:$M$150,4,FALSE))</f>
        <v>103</v>
      </c>
      <c r="O311" s="23">
        <f>IF(E311="","",VLOOKUP(E311,'Base Datos'!$A$2:$M$150,5,FALSE))</f>
        <v>35</v>
      </c>
      <c r="P311" s="23">
        <f>IF(E311="","",VLOOKUP(E311,'Base Datos'!$A$2:$M$150,6,FALSE))</f>
        <v>824</v>
      </c>
      <c r="Q311" s="23">
        <f>IF(E311="","",VLOOKUP(E311,'Base Datos'!$A$2:$M$150,7,FALSE))</f>
        <v>1</v>
      </c>
      <c r="R311" s="40">
        <f>IF(E311="","",VLOOKUP(E311,'Base Datos'!$A$2:$M$150,8,FALSE))</f>
        <v>65</v>
      </c>
      <c r="S311" s="40" t="str">
        <f>IF(E311="","",VLOOKUP(E311,'Base Datos'!$A$2:$M$150,9,FALSE))</f>
        <v>PP</v>
      </c>
      <c r="T311" s="33">
        <f>IF(E311="","",(H311*I311)-(J311+K311))</f>
        <v>713</v>
      </c>
      <c r="U311" s="33">
        <f>IF(E311="","",(I311*R311)/1000)</f>
        <v>6.5000000000000002E-2</v>
      </c>
      <c r="V311" s="123">
        <f>IF(G311="",0,(G311*H311)/3600)</f>
        <v>6.8400000000000007</v>
      </c>
      <c r="W311" s="45">
        <f>IFERROR(IF(E311="","",(H311/P311)),0)</f>
        <v>0.87378640776699024</v>
      </c>
      <c r="X311" s="94">
        <f>WEEKDAY(A311,1)</f>
        <v>2</v>
      </c>
      <c r="Y311" s="120">
        <f>MONTH(A311)</f>
        <v>8</v>
      </c>
      <c r="Z311" s="125">
        <f>WEEKNUM(A311)-WEEKNUM(DATE(YEAR(A311),MONTH(A311),1))+1</f>
        <v>1</v>
      </c>
      <c r="AA311" s="126">
        <f>IF(V311="",0,V311/8)</f>
        <v>0.85500000000000009</v>
      </c>
      <c r="AB311" s="125">
        <f>IF(E311="02PZ03405",0,1)</f>
        <v>1</v>
      </c>
    </row>
    <row r="312" spans="1:28" x14ac:dyDescent="0.2">
      <c r="A312" s="37">
        <v>44771</v>
      </c>
      <c r="B312" s="31" t="s">
        <v>34</v>
      </c>
      <c r="C312" s="31" t="s">
        <v>90</v>
      </c>
      <c r="D312" s="38">
        <v>2</v>
      </c>
      <c r="E312" s="39" t="s">
        <v>64</v>
      </c>
      <c r="F312" s="33" t="str">
        <f>IF(E312="","",VLOOKUP(E312,'Base Datos'!$A$2:$M$150,2,FALSE))</f>
        <v>Lata Baja Glitter</v>
      </c>
      <c r="G312" s="99">
        <v>41</v>
      </c>
      <c r="H312" s="102">
        <v>426</v>
      </c>
      <c r="I312" s="32">
        <v>1</v>
      </c>
      <c r="J312" s="32"/>
      <c r="K312" s="31">
        <v>10</v>
      </c>
      <c r="L312" s="39">
        <v>184975</v>
      </c>
      <c r="M312" s="33">
        <f>IF(E312="","",VLOOKUP(E312,'Base Datos'!$A$2:$M$150,3,FALSE))</f>
        <v>35</v>
      </c>
      <c r="N312" s="23">
        <f>IF(E312="","",VLOOKUP(E312,'Base Datos'!$A$2:$M$150,4,FALSE))</f>
        <v>103</v>
      </c>
      <c r="O312" s="23">
        <f>IF(E312="","",VLOOKUP(E312,'Base Datos'!$A$2:$M$150,5,FALSE))</f>
        <v>35</v>
      </c>
      <c r="P312" s="23">
        <f>IF(E312="","",VLOOKUP(E312,'Base Datos'!$A$2:$M$150,6,FALSE))</f>
        <v>824</v>
      </c>
      <c r="Q312" s="23">
        <f>IF(E312="","",VLOOKUP(E312,'Base Datos'!$A$2:$M$150,7,FALSE))</f>
        <v>1</v>
      </c>
      <c r="R312" s="40">
        <f>IF(E312="","",VLOOKUP(E312,'Base Datos'!$A$2:$M$150,8,FALSE))</f>
        <v>65</v>
      </c>
      <c r="S312" s="40" t="str">
        <f>IF(E312="","",VLOOKUP(E312,'Base Datos'!$A$2:$M$150,9,FALSE))</f>
        <v>PP</v>
      </c>
      <c r="T312" s="33">
        <f>IF(E312="","",(H312*I312)-(J312+K312))</f>
        <v>416</v>
      </c>
      <c r="U312" s="33">
        <f>IF(E312="","",(I312*R312)/1000)</f>
        <v>6.5000000000000002E-2</v>
      </c>
      <c r="V312" s="123">
        <f>IF(G312="",0,(G312*H312)/3600)</f>
        <v>4.8516666666666666</v>
      </c>
      <c r="W312" s="45">
        <f>IFERROR(IF(E312="","",(H312/P312)),0)</f>
        <v>0.51699029126213591</v>
      </c>
      <c r="X312" s="94">
        <f>WEEKDAY(A312,1)</f>
        <v>6</v>
      </c>
      <c r="Y312" s="120">
        <f>MONTH(A312)</f>
        <v>7</v>
      </c>
      <c r="Z312" s="125">
        <f>WEEKNUM(A312)-WEEKNUM(DATE(YEAR(A312),MONTH(A312),1))+1</f>
        <v>5</v>
      </c>
      <c r="AA312" s="126">
        <f>IF(V312="",0,V312/8)</f>
        <v>0.60645833333333332</v>
      </c>
      <c r="AB312" s="125">
        <f>IF(E312="02PZ03405",0,1)</f>
        <v>1</v>
      </c>
    </row>
    <row r="313" spans="1:28" x14ac:dyDescent="0.2">
      <c r="A313" s="37">
        <v>44770</v>
      </c>
      <c r="B313" s="31" t="s">
        <v>86</v>
      </c>
      <c r="C313" s="31" t="s">
        <v>90</v>
      </c>
      <c r="D313" s="38">
        <v>2</v>
      </c>
      <c r="E313" s="39" t="s">
        <v>64</v>
      </c>
      <c r="F313" s="33" t="str">
        <f>IF(E313="","",VLOOKUP(E313,'Base Datos'!$A$2:$M$150,2,FALSE))</f>
        <v>Lata Baja Glitter</v>
      </c>
      <c r="G313" s="99">
        <v>58.5</v>
      </c>
      <c r="H313" s="102">
        <v>500</v>
      </c>
      <c r="I313" s="32">
        <v>1</v>
      </c>
      <c r="J313" s="32"/>
      <c r="K313" s="31">
        <v>10</v>
      </c>
      <c r="L313" s="39">
        <v>184975</v>
      </c>
      <c r="M313" s="33">
        <f>IF(E313="","",VLOOKUP(E313,'Base Datos'!$A$2:$M$150,3,FALSE))</f>
        <v>35</v>
      </c>
      <c r="N313" s="23">
        <f>IF(E313="","",VLOOKUP(E313,'Base Datos'!$A$2:$M$150,4,FALSE))</f>
        <v>103</v>
      </c>
      <c r="O313" s="23">
        <f>IF(E313="","",VLOOKUP(E313,'Base Datos'!$A$2:$M$150,5,FALSE))</f>
        <v>35</v>
      </c>
      <c r="P313" s="23">
        <f>IF(E313="","",VLOOKUP(E313,'Base Datos'!$A$2:$M$150,6,FALSE))</f>
        <v>824</v>
      </c>
      <c r="Q313" s="23">
        <f>IF(E313="","",VLOOKUP(E313,'Base Datos'!$A$2:$M$150,7,FALSE))</f>
        <v>1</v>
      </c>
      <c r="R313" s="40">
        <f>IF(E313="","",VLOOKUP(E313,'Base Datos'!$A$2:$M$150,8,FALSE))</f>
        <v>65</v>
      </c>
      <c r="S313" s="40" t="str">
        <f>IF(E313="","",VLOOKUP(E313,'Base Datos'!$A$2:$M$150,9,FALSE))</f>
        <v>PP</v>
      </c>
      <c r="T313" s="33">
        <f>IF(E313="","",(H313*I313)-(J313+K313))</f>
        <v>490</v>
      </c>
      <c r="U313" s="33">
        <f>IF(E313="","",(I313*R313)/1000)</f>
        <v>6.5000000000000002E-2</v>
      </c>
      <c r="V313" s="123">
        <f>IF(G313="",0,(G313*H313)/3600)</f>
        <v>8.125</v>
      </c>
      <c r="W313" s="45">
        <f>IFERROR(IF(E313="","",(H313/P313)),0)</f>
        <v>0.60679611650485432</v>
      </c>
      <c r="X313" s="94">
        <f>WEEKDAY(A313,1)</f>
        <v>5</v>
      </c>
      <c r="Y313" s="120">
        <f>MONTH(A313)</f>
        <v>7</v>
      </c>
      <c r="Z313" s="125">
        <f>WEEKNUM(A313)-WEEKNUM(DATE(YEAR(A313),MONTH(A313),1))+1</f>
        <v>5</v>
      </c>
      <c r="AA313" s="126">
        <f>IF(V313="",0,V313/8)</f>
        <v>1.015625</v>
      </c>
      <c r="AB313" s="125">
        <f>IF(E313="02PZ03405",0,1)</f>
        <v>1</v>
      </c>
    </row>
    <row r="314" spans="1:28" x14ac:dyDescent="0.2">
      <c r="A314" s="37">
        <v>44754</v>
      </c>
      <c r="B314" s="31" t="s">
        <v>86</v>
      </c>
      <c r="C314" s="31" t="s">
        <v>90</v>
      </c>
      <c r="D314" s="38">
        <v>3</v>
      </c>
      <c r="E314" s="39" t="s">
        <v>64</v>
      </c>
      <c r="F314" s="33" t="str">
        <f>IF(E314="","",VLOOKUP(E314,'Base Datos'!$A$2:$M$150,2,FALSE))</f>
        <v>Lata Baja Glitter</v>
      </c>
      <c r="G314" s="32">
        <v>33.5</v>
      </c>
      <c r="H314" s="102">
        <v>526</v>
      </c>
      <c r="I314" s="32">
        <v>1</v>
      </c>
      <c r="J314" s="32">
        <v>0</v>
      </c>
      <c r="K314" s="31">
        <v>28</v>
      </c>
      <c r="L314" s="39">
        <v>184706</v>
      </c>
      <c r="M314" s="33">
        <f>IF(E314="","",VLOOKUP(E314,'Base Datos'!$A$2:$M$150,3,FALSE))</f>
        <v>35</v>
      </c>
      <c r="N314" s="23">
        <f>IF(E314="","",VLOOKUP(E314,'Base Datos'!$A$2:$M$150,4,FALSE))</f>
        <v>103</v>
      </c>
      <c r="O314" s="23">
        <f>IF(E314="","",VLOOKUP(E314,'Base Datos'!$A$2:$M$150,5,FALSE))</f>
        <v>35</v>
      </c>
      <c r="P314" s="23">
        <f>IF(E314="","",VLOOKUP(E314,'Base Datos'!$A$2:$M$150,6,FALSE))</f>
        <v>824</v>
      </c>
      <c r="Q314" s="23">
        <f>IF(E314="","",VLOOKUP(E314,'Base Datos'!$A$2:$M$150,7,FALSE))</f>
        <v>1</v>
      </c>
      <c r="R314" s="40">
        <f>IF(E314="","",VLOOKUP(E314,'Base Datos'!$A$2:$M$150,8,FALSE))</f>
        <v>65</v>
      </c>
      <c r="S314" s="40" t="str">
        <f>IF(E314="","",VLOOKUP(E314,'Base Datos'!$A$2:$M$150,9,FALSE))</f>
        <v>PP</v>
      </c>
      <c r="T314" s="33">
        <f>IF(E314="","",(H314*I314)-(J314+K314))</f>
        <v>498</v>
      </c>
      <c r="U314" s="33">
        <f>IF(E314="","",(I314*R314)/1000)</f>
        <v>6.5000000000000002E-2</v>
      </c>
      <c r="V314" s="123">
        <f>IF(G314="",0,(G314*H314)/3600)</f>
        <v>4.8947222222222226</v>
      </c>
      <c r="W314" s="45">
        <f>IFERROR(IF(E314="","",(H314/P314)),0)</f>
        <v>0.63834951456310685</v>
      </c>
      <c r="X314" s="94">
        <f>WEEKDAY(A314,1)</f>
        <v>3</v>
      </c>
      <c r="Y314" s="120">
        <f>MONTH(A314)</f>
        <v>7</v>
      </c>
      <c r="Z314" s="125">
        <f>WEEKNUM(A314)-WEEKNUM(DATE(YEAR(A314),MONTH(A314),1))+1</f>
        <v>3</v>
      </c>
      <c r="AA314" s="126">
        <f>IF(V314="",0,V314/8)</f>
        <v>0.61184027777777783</v>
      </c>
      <c r="AB314" s="125">
        <f>IF(E314="02PZ03405",0,1)</f>
        <v>1</v>
      </c>
    </row>
    <row r="315" spans="1:28" x14ac:dyDescent="0.2">
      <c r="A315" s="37">
        <v>44755</v>
      </c>
      <c r="B315" s="31" t="s">
        <v>34</v>
      </c>
      <c r="C315" s="31" t="s">
        <v>88</v>
      </c>
      <c r="D315" s="38">
        <v>3</v>
      </c>
      <c r="E315" s="39" t="s">
        <v>64</v>
      </c>
      <c r="F315" s="33" t="str">
        <f>IF(E315="","",VLOOKUP(E315,'Base Datos'!$A$2:$M$150,2,FALSE))</f>
        <v>Lata Baja Glitter</v>
      </c>
      <c r="G315" s="32">
        <v>45.6</v>
      </c>
      <c r="H315" s="102">
        <v>650</v>
      </c>
      <c r="I315" s="32">
        <v>1</v>
      </c>
      <c r="J315" s="32"/>
      <c r="K315" s="31">
        <v>90</v>
      </c>
      <c r="L315" s="39">
        <v>184706</v>
      </c>
      <c r="M315" s="33">
        <f>IF(E315="","",VLOOKUP(E315,'Base Datos'!$A$2:$M$150,3,FALSE))</f>
        <v>35</v>
      </c>
      <c r="N315" s="23">
        <f>IF(E315="","",VLOOKUP(E315,'Base Datos'!$A$2:$M$150,4,FALSE))</f>
        <v>103</v>
      </c>
      <c r="O315" s="23">
        <f>IF(E315="","",VLOOKUP(E315,'Base Datos'!$A$2:$M$150,5,FALSE))</f>
        <v>35</v>
      </c>
      <c r="P315" s="23">
        <f>IF(E315="","",VLOOKUP(E315,'Base Datos'!$A$2:$M$150,6,FALSE))</f>
        <v>824</v>
      </c>
      <c r="Q315" s="23">
        <f>IF(E315="","",VLOOKUP(E315,'Base Datos'!$A$2:$M$150,7,FALSE))</f>
        <v>1</v>
      </c>
      <c r="R315" s="40">
        <f>IF(E315="","",VLOOKUP(E315,'Base Datos'!$A$2:$M$150,8,FALSE))</f>
        <v>65</v>
      </c>
      <c r="S315" s="40" t="str">
        <f>IF(E315="","",VLOOKUP(E315,'Base Datos'!$A$2:$M$150,9,FALSE))</f>
        <v>PP</v>
      </c>
      <c r="T315" s="33">
        <f>IF(E315="","",(H315*I315)-(J315+K315))</f>
        <v>560</v>
      </c>
      <c r="U315" s="33">
        <f>IF(E315="","",(I315*R315)/1000)</f>
        <v>6.5000000000000002E-2</v>
      </c>
      <c r="V315" s="123">
        <f>IF(G315="",0,(G315*H315)/3600)</f>
        <v>8.2333333333333325</v>
      </c>
      <c r="W315" s="45">
        <f>IFERROR(IF(E315="","",(H315/P315)),0)</f>
        <v>0.78883495145631066</v>
      </c>
      <c r="X315" s="94">
        <f>WEEKDAY(A315,1)</f>
        <v>4</v>
      </c>
      <c r="Y315" s="120">
        <f>MONTH(A315)</f>
        <v>7</v>
      </c>
      <c r="Z315" s="125">
        <f>WEEKNUM(A315)-WEEKNUM(DATE(YEAR(A315),MONTH(A315),1))+1</f>
        <v>3</v>
      </c>
      <c r="AA315" s="126">
        <f>IF(V315="",0,V315/8)</f>
        <v>1.0291666666666666</v>
      </c>
      <c r="AB315" s="125">
        <f>IF(E315="02PZ03405",0,1)</f>
        <v>1</v>
      </c>
    </row>
    <row r="316" spans="1:28" x14ac:dyDescent="0.2">
      <c r="A316" s="37">
        <v>44777</v>
      </c>
      <c r="B316" s="31" t="s">
        <v>87</v>
      </c>
      <c r="C316" s="31" t="s">
        <v>93</v>
      </c>
      <c r="D316" s="38">
        <v>2</v>
      </c>
      <c r="E316" s="39" t="s">
        <v>64</v>
      </c>
      <c r="F316" s="33" t="str">
        <f>IF(E316="","",VLOOKUP(E316,'Base Datos'!$A$2:$M$150,2,FALSE))</f>
        <v>Lata Baja Glitter</v>
      </c>
      <c r="G316" s="99">
        <v>45</v>
      </c>
      <c r="H316" s="102">
        <v>620</v>
      </c>
      <c r="I316" s="32">
        <v>1</v>
      </c>
      <c r="J316" s="32"/>
      <c r="K316" s="31">
        <v>6</v>
      </c>
      <c r="L316" s="39">
        <v>184975</v>
      </c>
      <c r="M316" s="33">
        <f>IF(E316="","",VLOOKUP(E316,'Base Datos'!$A$2:$M$150,3,FALSE))</f>
        <v>35</v>
      </c>
      <c r="N316" s="23">
        <f>IF(E316="","",VLOOKUP(E316,'Base Datos'!$A$2:$M$150,4,FALSE))</f>
        <v>103</v>
      </c>
      <c r="O316" s="23">
        <f>IF(E316="","",VLOOKUP(E316,'Base Datos'!$A$2:$M$150,5,FALSE))</f>
        <v>35</v>
      </c>
      <c r="P316" s="23">
        <f>IF(E316="","",VLOOKUP(E316,'Base Datos'!$A$2:$M$150,6,FALSE))</f>
        <v>824</v>
      </c>
      <c r="Q316" s="23">
        <f>IF(E316="","",VLOOKUP(E316,'Base Datos'!$A$2:$M$150,7,FALSE))</f>
        <v>1</v>
      </c>
      <c r="R316" s="40">
        <f>IF(E316="","",VLOOKUP(E316,'Base Datos'!$A$2:$M$150,8,FALSE))</f>
        <v>65</v>
      </c>
      <c r="S316" s="40" t="str">
        <f>IF(E316="","",VLOOKUP(E316,'Base Datos'!$A$2:$M$150,9,FALSE))</f>
        <v>PP</v>
      </c>
      <c r="T316" s="33">
        <f>IF(E316="","",(H316*I316)-(J316+K316))</f>
        <v>614</v>
      </c>
      <c r="U316" s="33">
        <f>IF(E316="","",(I316*R316)/1000)</f>
        <v>6.5000000000000002E-2</v>
      </c>
      <c r="V316" s="123">
        <f>IF(G316="",0,(G316*H316)/3600)</f>
        <v>7.75</v>
      </c>
      <c r="W316" s="45">
        <f>IFERROR(IF(E316="","",(H316/P316)),0)</f>
        <v>0.75242718446601942</v>
      </c>
      <c r="X316" s="23">
        <f>WEEKDAY(A316,1)</f>
        <v>5</v>
      </c>
      <c r="Y316" s="120">
        <f>MONTH(A316)</f>
        <v>8</v>
      </c>
      <c r="Z316" s="125">
        <f>WEEKNUM(A316)-WEEKNUM(DATE(YEAR(A316),MONTH(A316),1))+1</f>
        <v>1</v>
      </c>
      <c r="AA316" s="126">
        <f>IF(V316="",0,V316/8)</f>
        <v>0.96875</v>
      </c>
      <c r="AB316" s="125">
        <f>IF(E316="02PZ03405",0,1)</f>
        <v>1</v>
      </c>
    </row>
    <row r="317" spans="1:28" x14ac:dyDescent="0.2">
      <c r="A317" s="37">
        <v>44775</v>
      </c>
      <c r="B317" s="31" t="s">
        <v>87</v>
      </c>
      <c r="C317" s="31" t="s">
        <v>93</v>
      </c>
      <c r="D317" s="38">
        <v>2</v>
      </c>
      <c r="E317" s="39" t="s">
        <v>64</v>
      </c>
      <c r="F317" s="33" t="str">
        <f>IF(E317="","",VLOOKUP(E317,'Base Datos'!$A$2:$M$150,2,FALSE))</f>
        <v>Lata Baja Glitter</v>
      </c>
      <c r="G317" s="99">
        <v>41.8</v>
      </c>
      <c r="H317" s="102">
        <v>560</v>
      </c>
      <c r="I317" s="32">
        <v>1</v>
      </c>
      <c r="J317" s="32"/>
      <c r="K317" s="31">
        <v>1</v>
      </c>
      <c r="L317" s="39">
        <v>184975</v>
      </c>
      <c r="M317" s="33">
        <f>IF(E317="","",VLOOKUP(E317,'Base Datos'!$A$2:$M$150,3,FALSE))</f>
        <v>35</v>
      </c>
      <c r="N317" s="23">
        <f>IF(E317="","",VLOOKUP(E317,'Base Datos'!$A$2:$M$150,4,FALSE))</f>
        <v>103</v>
      </c>
      <c r="O317" s="23">
        <f>IF(E317="","",VLOOKUP(E317,'Base Datos'!$A$2:$M$150,5,FALSE))</f>
        <v>35</v>
      </c>
      <c r="P317" s="23">
        <f>IF(E317="","",VLOOKUP(E317,'Base Datos'!$A$2:$M$150,6,FALSE))</f>
        <v>824</v>
      </c>
      <c r="Q317" s="23">
        <f>IF(E317="","",VLOOKUP(E317,'Base Datos'!$A$2:$M$150,7,FALSE))</f>
        <v>1</v>
      </c>
      <c r="R317" s="40">
        <f>IF(E317="","",VLOOKUP(E317,'Base Datos'!$A$2:$M$150,8,FALSE))</f>
        <v>65</v>
      </c>
      <c r="S317" s="40" t="str">
        <f>IF(E317="","",VLOOKUP(E317,'Base Datos'!$A$2:$M$150,9,FALSE))</f>
        <v>PP</v>
      </c>
      <c r="T317" s="33">
        <f>IF(E317="","",(H317*I317)-(J317+K317))</f>
        <v>559</v>
      </c>
      <c r="U317" s="33">
        <f>IF(E317="","",(I317*R317)/1000)</f>
        <v>6.5000000000000002E-2</v>
      </c>
      <c r="V317" s="123">
        <f>IF(G317="",0,(G317*H317)/3600)</f>
        <v>6.5022222222222226</v>
      </c>
      <c r="W317" s="45">
        <f>IFERROR(IF(E317="","",(H317/P317)),0)</f>
        <v>0.67961165048543692</v>
      </c>
      <c r="X317" s="94">
        <f>WEEKDAY(A317,1)</f>
        <v>3</v>
      </c>
      <c r="Y317" s="120">
        <f>MONTH(A317)</f>
        <v>8</v>
      </c>
      <c r="Z317" s="125">
        <f>WEEKNUM(A317)-WEEKNUM(DATE(YEAR(A317),MONTH(A317),1))+1</f>
        <v>1</v>
      </c>
      <c r="AA317" s="126">
        <f>IF(V317="",0,V317/8)</f>
        <v>0.81277777777777782</v>
      </c>
      <c r="AB317" s="125">
        <f>IF(E317="02PZ03405",0,1)</f>
        <v>1</v>
      </c>
    </row>
    <row r="318" spans="1:28" x14ac:dyDescent="0.2">
      <c r="A318" s="37">
        <v>44774</v>
      </c>
      <c r="B318" s="31" t="s">
        <v>87</v>
      </c>
      <c r="C318" s="31" t="s">
        <v>93</v>
      </c>
      <c r="D318" s="38">
        <v>2</v>
      </c>
      <c r="E318" s="39" t="s">
        <v>64</v>
      </c>
      <c r="F318" s="33" t="str">
        <f>IF(E318="","",VLOOKUP(E318,'Base Datos'!$A$2:$M$150,2,FALSE))</f>
        <v>Lata Baja Glitter</v>
      </c>
      <c r="G318" s="99">
        <v>40</v>
      </c>
      <c r="H318" s="102">
        <v>700</v>
      </c>
      <c r="I318" s="32">
        <v>1</v>
      </c>
      <c r="J318" s="32"/>
      <c r="K318" s="31">
        <v>5</v>
      </c>
      <c r="L318" s="39">
        <v>184975</v>
      </c>
      <c r="M318" s="33">
        <f>IF(E318="","",VLOOKUP(E318,'Base Datos'!$A$2:$M$150,3,FALSE))</f>
        <v>35</v>
      </c>
      <c r="N318" s="23">
        <f>IF(E318="","",VLOOKUP(E318,'Base Datos'!$A$2:$M$150,4,FALSE))</f>
        <v>103</v>
      </c>
      <c r="O318" s="23">
        <f>IF(E318="","",VLOOKUP(E318,'Base Datos'!$A$2:$M$150,5,FALSE))</f>
        <v>35</v>
      </c>
      <c r="P318" s="23">
        <f>IF(E318="","",VLOOKUP(E318,'Base Datos'!$A$2:$M$150,6,FALSE))</f>
        <v>824</v>
      </c>
      <c r="Q318" s="23">
        <f>IF(E318="","",VLOOKUP(E318,'Base Datos'!$A$2:$M$150,7,FALSE))</f>
        <v>1</v>
      </c>
      <c r="R318" s="40">
        <f>IF(E318="","",VLOOKUP(E318,'Base Datos'!$A$2:$M$150,8,FALSE))</f>
        <v>65</v>
      </c>
      <c r="S318" s="40" t="str">
        <f>IF(E318="","",VLOOKUP(E318,'Base Datos'!$A$2:$M$150,9,FALSE))</f>
        <v>PP</v>
      </c>
      <c r="T318" s="33">
        <f>IF(E318="","",(H318*I318)-(J318+K318))</f>
        <v>695</v>
      </c>
      <c r="U318" s="33">
        <f>IF(E318="","",(I318*R318)/1000)</f>
        <v>6.5000000000000002E-2</v>
      </c>
      <c r="V318" s="123">
        <f>IF(G318="",0,(G318*H318)/3600)</f>
        <v>7.7777777777777777</v>
      </c>
      <c r="W318" s="45">
        <f>IFERROR(IF(E318="","",(H318/P318)),0)</f>
        <v>0.84951456310679607</v>
      </c>
      <c r="X318" s="94">
        <f>WEEKDAY(A318,1)</f>
        <v>2</v>
      </c>
      <c r="Y318" s="120">
        <f>MONTH(A318)</f>
        <v>8</v>
      </c>
      <c r="Z318" s="125">
        <f>WEEKNUM(A318)-WEEKNUM(DATE(YEAR(A318),MONTH(A318),1))+1</f>
        <v>1</v>
      </c>
      <c r="AA318" s="126">
        <f>IF(V318="",0,V318/8)</f>
        <v>0.97222222222222221</v>
      </c>
      <c r="AB318" s="125">
        <f>IF(E318="02PZ03405",0,1)</f>
        <v>1</v>
      </c>
    </row>
    <row r="319" spans="1:28" x14ac:dyDescent="0.2">
      <c r="A319" s="37">
        <v>44771</v>
      </c>
      <c r="B319" s="31" t="s">
        <v>87</v>
      </c>
      <c r="C319" s="31" t="s">
        <v>93</v>
      </c>
      <c r="D319" s="38">
        <v>2</v>
      </c>
      <c r="E319" s="39" t="s">
        <v>64</v>
      </c>
      <c r="F319" s="33" t="str">
        <f>IF(E319="","",VLOOKUP(E319,'Base Datos'!$A$2:$M$150,2,FALSE))</f>
        <v>Lata Baja Glitter</v>
      </c>
      <c r="G319" s="99">
        <v>41.4</v>
      </c>
      <c r="H319" s="102">
        <v>610</v>
      </c>
      <c r="I319" s="32">
        <v>1</v>
      </c>
      <c r="J319" s="32"/>
      <c r="K319" s="31">
        <v>8</v>
      </c>
      <c r="L319" s="39">
        <v>184975</v>
      </c>
      <c r="M319" s="33">
        <f>IF(E319="","",VLOOKUP(E319,'Base Datos'!$A$2:$M$150,3,FALSE))</f>
        <v>35</v>
      </c>
      <c r="N319" s="23">
        <f>IF(E319="","",VLOOKUP(E319,'Base Datos'!$A$2:$M$150,4,FALSE))</f>
        <v>103</v>
      </c>
      <c r="O319" s="23">
        <f>IF(E319="","",VLOOKUP(E319,'Base Datos'!$A$2:$M$150,5,FALSE))</f>
        <v>35</v>
      </c>
      <c r="P319" s="23">
        <f>IF(E319="","",VLOOKUP(E319,'Base Datos'!$A$2:$M$150,6,FALSE))</f>
        <v>824</v>
      </c>
      <c r="Q319" s="23">
        <f>IF(E319="","",VLOOKUP(E319,'Base Datos'!$A$2:$M$150,7,FALSE))</f>
        <v>1</v>
      </c>
      <c r="R319" s="40">
        <f>IF(E319="","",VLOOKUP(E319,'Base Datos'!$A$2:$M$150,8,FALSE))</f>
        <v>65</v>
      </c>
      <c r="S319" s="40" t="str">
        <f>IF(E319="","",VLOOKUP(E319,'Base Datos'!$A$2:$M$150,9,FALSE))</f>
        <v>PP</v>
      </c>
      <c r="T319" s="33">
        <f>IF(E319="","",(H319*I319)-(J319+K319))</f>
        <v>602</v>
      </c>
      <c r="U319" s="33">
        <f>IF(E319="","",(I319*R319)/1000)</f>
        <v>6.5000000000000002E-2</v>
      </c>
      <c r="V319" s="123">
        <f>IF(G319="",0,(G319*H319)/3600)</f>
        <v>7.0149999999999997</v>
      </c>
      <c r="W319" s="45">
        <f>IFERROR(IF(E319="","",(H319/P319)),0)</f>
        <v>0.74029126213592233</v>
      </c>
      <c r="X319" s="94">
        <f>WEEKDAY(A319,1)</f>
        <v>6</v>
      </c>
      <c r="Y319" s="120">
        <f>MONTH(A319)</f>
        <v>7</v>
      </c>
      <c r="Z319" s="125">
        <f>WEEKNUM(A319)-WEEKNUM(DATE(YEAR(A319),MONTH(A319),1))+1</f>
        <v>5</v>
      </c>
      <c r="AA319" s="126">
        <f>IF(V319="",0,V319/8)</f>
        <v>0.87687499999999996</v>
      </c>
      <c r="AB319" s="125">
        <f>IF(E319="02PZ03405",0,1)</f>
        <v>1</v>
      </c>
    </row>
    <row r="320" spans="1:28" x14ac:dyDescent="0.2">
      <c r="A320" s="37">
        <v>44770</v>
      </c>
      <c r="B320" s="31" t="s">
        <v>87</v>
      </c>
      <c r="C320" s="31" t="s">
        <v>93</v>
      </c>
      <c r="D320" s="38">
        <v>2</v>
      </c>
      <c r="E320" s="39" t="s">
        <v>64</v>
      </c>
      <c r="F320" s="33" t="str">
        <f>IF(E320="","",VLOOKUP(E320,'Base Datos'!$A$2:$M$150,2,FALSE))</f>
        <v>Lata Baja Glitter</v>
      </c>
      <c r="G320" s="99">
        <v>41</v>
      </c>
      <c r="H320" s="102">
        <v>630</v>
      </c>
      <c r="I320" s="32">
        <v>1</v>
      </c>
      <c r="J320" s="32"/>
      <c r="K320" s="31">
        <v>10</v>
      </c>
      <c r="L320" s="39">
        <v>184975</v>
      </c>
      <c r="M320" s="33">
        <f>IF(E320="","",VLOOKUP(E320,'Base Datos'!$A$2:$M$150,3,FALSE))</f>
        <v>35</v>
      </c>
      <c r="N320" s="23">
        <f>IF(E320="","",VLOOKUP(E320,'Base Datos'!$A$2:$M$150,4,FALSE))</f>
        <v>103</v>
      </c>
      <c r="O320" s="23">
        <f>IF(E320="","",VLOOKUP(E320,'Base Datos'!$A$2:$M$150,5,FALSE))</f>
        <v>35</v>
      </c>
      <c r="P320" s="23">
        <f>IF(E320="","",VLOOKUP(E320,'Base Datos'!$A$2:$M$150,6,FALSE))</f>
        <v>824</v>
      </c>
      <c r="Q320" s="23">
        <f>IF(E320="","",VLOOKUP(E320,'Base Datos'!$A$2:$M$150,7,FALSE))</f>
        <v>1</v>
      </c>
      <c r="R320" s="40">
        <f>IF(E320="","",VLOOKUP(E320,'Base Datos'!$A$2:$M$150,8,FALSE))</f>
        <v>65</v>
      </c>
      <c r="S320" s="40" t="str">
        <f>IF(E320="","",VLOOKUP(E320,'Base Datos'!$A$2:$M$150,9,FALSE))</f>
        <v>PP</v>
      </c>
      <c r="T320" s="33">
        <f>IF(E320="","",(H320*I320)-(J320+K320))</f>
        <v>620</v>
      </c>
      <c r="U320" s="33">
        <f>IF(E320="","",(I320*R320)/1000)</f>
        <v>6.5000000000000002E-2</v>
      </c>
      <c r="V320" s="123">
        <f>IF(G320="",0,(G320*H320)/3600)</f>
        <v>7.1749999999999998</v>
      </c>
      <c r="W320" s="45">
        <f>IFERROR(IF(E320="","",(H320/P320)),0)</f>
        <v>0.7645631067961165</v>
      </c>
      <c r="X320" s="94">
        <f>WEEKDAY(A320,1)</f>
        <v>5</v>
      </c>
      <c r="Y320" s="120">
        <f>MONTH(A320)</f>
        <v>7</v>
      </c>
      <c r="Z320" s="125">
        <f>WEEKNUM(A320)-WEEKNUM(DATE(YEAR(A320),MONTH(A320),1))+1</f>
        <v>5</v>
      </c>
      <c r="AA320" s="126">
        <f>IF(V320="",0,V320/8)</f>
        <v>0.89687499999999998</v>
      </c>
      <c r="AB320" s="125">
        <f>IF(E320="02PZ03405",0,1)</f>
        <v>1</v>
      </c>
    </row>
    <row r="321" spans="1:28" x14ac:dyDescent="0.2">
      <c r="A321" s="37">
        <v>44769</v>
      </c>
      <c r="B321" s="31" t="s">
        <v>87</v>
      </c>
      <c r="C321" s="31" t="s">
        <v>93</v>
      </c>
      <c r="D321" s="38">
        <v>2</v>
      </c>
      <c r="E321" s="39" t="s">
        <v>64</v>
      </c>
      <c r="F321" s="33" t="str">
        <f>IF(E321="","",VLOOKUP(E321,'Base Datos'!$A$2:$M$150,2,FALSE))</f>
        <v>Lata Baja Glitter</v>
      </c>
      <c r="G321" s="99">
        <v>40</v>
      </c>
      <c r="H321" s="102">
        <v>140</v>
      </c>
      <c r="I321" s="32">
        <v>1</v>
      </c>
      <c r="J321" s="32"/>
      <c r="K321" s="31">
        <v>15</v>
      </c>
      <c r="L321" s="39">
        <v>184975</v>
      </c>
      <c r="M321" s="33">
        <f>IF(E321="","",VLOOKUP(E321,'Base Datos'!$A$2:$M$150,3,FALSE))</f>
        <v>35</v>
      </c>
      <c r="N321" s="23">
        <f>IF(E321="","",VLOOKUP(E321,'Base Datos'!$A$2:$M$150,4,FALSE))</f>
        <v>103</v>
      </c>
      <c r="O321" s="23">
        <f>IF(E321="","",VLOOKUP(E321,'Base Datos'!$A$2:$M$150,5,FALSE))</f>
        <v>35</v>
      </c>
      <c r="P321" s="23">
        <f>IF(E321="","",VLOOKUP(E321,'Base Datos'!$A$2:$M$150,6,FALSE))</f>
        <v>824</v>
      </c>
      <c r="Q321" s="23">
        <f>IF(E321="","",VLOOKUP(E321,'Base Datos'!$A$2:$M$150,7,FALSE))</f>
        <v>1</v>
      </c>
      <c r="R321" s="40">
        <f>IF(E321="","",VLOOKUP(E321,'Base Datos'!$A$2:$M$150,8,FALSE))</f>
        <v>65</v>
      </c>
      <c r="S321" s="40" t="str">
        <f>IF(E321="","",VLOOKUP(E321,'Base Datos'!$A$2:$M$150,9,FALSE))</f>
        <v>PP</v>
      </c>
      <c r="T321" s="33">
        <f>IF(E321="","",(H321*I321)-(J321+K321))</f>
        <v>125</v>
      </c>
      <c r="U321" s="33">
        <f>IF(E321="","",(I321*R321)/1000)</f>
        <v>6.5000000000000002E-2</v>
      </c>
      <c r="V321" s="123">
        <f>IF(G321="",0,(G321*H321)/3600)</f>
        <v>1.5555555555555556</v>
      </c>
      <c r="W321" s="45">
        <f>IFERROR(IF(E321="","",(H321/P321)),0)</f>
        <v>0.16990291262135923</v>
      </c>
      <c r="X321" s="94">
        <f>WEEKDAY(A321,1)</f>
        <v>4</v>
      </c>
      <c r="Y321" s="120">
        <f>MONTH(A321)</f>
        <v>7</v>
      </c>
      <c r="Z321" s="125">
        <f>WEEKNUM(A321)-WEEKNUM(DATE(YEAR(A321),MONTH(A321),1))+1</f>
        <v>5</v>
      </c>
      <c r="AA321" s="126">
        <f>IF(V321="",0,V321/8)</f>
        <v>0.19444444444444445</v>
      </c>
      <c r="AB321" s="125">
        <f>IF(E321="02PZ03405",0,1)</f>
        <v>1</v>
      </c>
    </row>
    <row r="322" spans="1:28" x14ac:dyDescent="0.2">
      <c r="A322" s="37">
        <v>44754</v>
      </c>
      <c r="B322" s="119" t="s">
        <v>87</v>
      </c>
      <c r="C322" s="31" t="s">
        <v>93</v>
      </c>
      <c r="D322" s="38">
        <v>3</v>
      </c>
      <c r="E322" s="39" t="s">
        <v>64</v>
      </c>
      <c r="F322" s="33" t="str">
        <f>IF(E322="","",VLOOKUP(E322,'Base Datos'!$A$2:$M$150,2,FALSE))</f>
        <v>Lata Baja Glitter</v>
      </c>
      <c r="G322" s="32">
        <v>33</v>
      </c>
      <c r="H322" s="102">
        <v>822</v>
      </c>
      <c r="I322" s="32">
        <v>1</v>
      </c>
      <c r="J322" s="32">
        <v>0</v>
      </c>
      <c r="K322" s="31">
        <v>10</v>
      </c>
      <c r="L322" s="39">
        <v>184706</v>
      </c>
      <c r="M322" s="33">
        <f>IF(E322="","",VLOOKUP(E322,'Base Datos'!$A$2:$M$150,3,FALSE))</f>
        <v>35</v>
      </c>
      <c r="N322" s="23">
        <f>IF(E322="","",VLOOKUP(E322,'Base Datos'!$A$2:$M$150,4,FALSE))</f>
        <v>103</v>
      </c>
      <c r="O322" s="23">
        <f>IF(E322="","",VLOOKUP(E322,'Base Datos'!$A$2:$M$150,5,FALSE))</f>
        <v>35</v>
      </c>
      <c r="P322" s="23">
        <f>IF(E322="","",VLOOKUP(E322,'Base Datos'!$A$2:$M$150,6,FALSE))</f>
        <v>824</v>
      </c>
      <c r="Q322" s="23">
        <f>IF(E322="","",VLOOKUP(E322,'Base Datos'!$A$2:$M$150,7,FALSE))</f>
        <v>1</v>
      </c>
      <c r="R322" s="40">
        <f>IF(E322="","",VLOOKUP(E322,'Base Datos'!$A$2:$M$150,8,FALSE))</f>
        <v>65</v>
      </c>
      <c r="S322" s="40" t="str">
        <f>IF(E322="","",VLOOKUP(E322,'Base Datos'!$A$2:$M$150,9,FALSE))</f>
        <v>PP</v>
      </c>
      <c r="T322" s="33">
        <f>IF(E322="","",(H322*I322)-(J322+K322))</f>
        <v>812</v>
      </c>
      <c r="U322" s="33">
        <f>IF(E322="","",(I322*R322)/1000)</f>
        <v>6.5000000000000002E-2</v>
      </c>
      <c r="V322" s="123">
        <f>IF(G322="",0,(G322*H322)/3600)</f>
        <v>7.5350000000000001</v>
      </c>
      <c r="W322" s="45">
        <f>IFERROR(IF(E322="","",(H322/P322)),0)</f>
        <v>0.99757281553398058</v>
      </c>
      <c r="X322" s="94">
        <f>WEEKDAY(A322,1)</f>
        <v>3</v>
      </c>
      <c r="Y322" s="120">
        <f>MONTH(A322)</f>
        <v>7</v>
      </c>
      <c r="Z322" s="125">
        <f>WEEKNUM(A322)-WEEKNUM(DATE(YEAR(A322),MONTH(A322),1))+1</f>
        <v>3</v>
      </c>
      <c r="AA322" s="126">
        <f>IF(V322="",0,V322/8)</f>
        <v>0.94187500000000002</v>
      </c>
      <c r="AB322" s="125">
        <f>IF(E322="02PZ03405",0,1)</f>
        <v>1</v>
      </c>
    </row>
    <row r="323" spans="1:28" x14ac:dyDescent="0.2">
      <c r="A323" s="37">
        <v>44757</v>
      </c>
      <c r="B323" s="119" t="s">
        <v>34</v>
      </c>
      <c r="C323" s="31" t="s">
        <v>89</v>
      </c>
      <c r="D323" s="38">
        <v>3</v>
      </c>
      <c r="E323" s="39" t="s">
        <v>60</v>
      </c>
      <c r="F323" s="33" t="str">
        <f>IF(E323="","",VLOOKUP(E323,'Base Datos'!$A$2:$M$150,2,FALSE))</f>
        <v>Lata Baja 6 Colores</v>
      </c>
      <c r="G323" s="99">
        <v>45</v>
      </c>
      <c r="H323" s="102">
        <v>621</v>
      </c>
      <c r="I323" s="32">
        <v>1</v>
      </c>
      <c r="J323" s="32"/>
      <c r="K323" s="31">
        <v>5</v>
      </c>
      <c r="L323" s="39">
        <v>184706</v>
      </c>
      <c r="M323" s="33">
        <f>IF(E323="","",VLOOKUP(E323,'Base Datos'!$A$2:$M$150,3,FALSE))</f>
        <v>35</v>
      </c>
      <c r="N323" s="23">
        <f>IF(E323="","",VLOOKUP(E323,'Base Datos'!$A$2:$M$150,4,FALSE))</f>
        <v>103</v>
      </c>
      <c r="O323" s="23">
        <f>IF(E323="","",VLOOKUP(E323,'Base Datos'!$A$2:$M$150,5,FALSE))</f>
        <v>35</v>
      </c>
      <c r="P323" s="23">
        <f>IF(E323="","",VLOOKUP(E323,'Base Datos'!$A$2:$M$150,6,FALSE))</f>
        <v>824</v>
      </c>
      <c r="Q323" s="23">
        <f>IF(E323="","",VLOOKUP(E323,'Base Datos'!$A$2:$M$150,7,FALSE))</f>
        <v>1</v>
      </c>
      <c r="R323" s="40">
        <f>IF(E323="","",VLOOKUP(E323,'Base Datos'!$A$2:$M$150,8,FALSE))</f>
        <v>65</v>
      </c>
      <c r="S323" s="40" t="str">
        <f>IF(E323="","",VLOOKUP(E323,'Base Datos'!$A$2:$M$150,9,FALSE))</f>
        <v>PP</v>
      </c>
      <c r="T323" s="33">
        <f>IF(E323="","",(H323*I323)-(J323+K323))</f>
        <v>616</v>
      </c>
      <c r="U323" s="33">
        <f>IF(E323="","",(I323*R323)/1000)</f>
        <v>6.5000000000000002E-2</v>
      </c>
      <c r="V323" s="123">
        <f>IF(G323="",0,(G323*H323)/3600)</f>
        <v>7.7625000000000002</v>
      </c>
      <c r="W323" s="45">
        <f>IFERROR(IF(E323="","",(H323/P323)),0)</f>
        <v>0.75364077669902918</v>
      </c>
      <c r="X323" s="94">
        <f>WEEKDAY(A323,1)</f>
        <v>6</v>
      </c>
      <c r="Y323" s="120">
        <f>MONTH(A323)</f>
        <v>7</v>
      </c>
      <c r="Z323" s="125">
        <f>WEEKNUM(A323)-WEEKNUM(DATE(YEAR(A323),MONTH(A323),1))+1</f>
        <v>3</v>
      </c>
      <c r="AA323" s="126">
        <f>IF(V323="",0,V323/8)</f>
        <v>0.97031250000000002</v>
      </c>
      <c r="AB323" s="125">
        <f>IF(E323="02PZ03405",0,1)</f>
        <v>1</v>
      </c>
    </row>
    <row r="324" spans="1:28" x14ac:dyDescent="0.2">
      <c r="A324" s="37">
        <v>44750</v>
      </c>
      <c r="B324" s="31" t="s">
        <v>34</v>
      </c>
      <c r="C324" s="31" t="s">
        <v>89</v>
      </c>
      <c r="D324" s="38">
        <v>1</v>
      </c>
      <c r="E324" s="39" t="s">
        <v>60</v>
      </c>
      <c r="F324" s="33" t="str">
        <f>IF(E324="","",VLOOKUP(E324,'Base Datos'!$A$2:$M$150,2,FALSE))</f>
        <v>Lata Baja 6 Colores</v>
      </c>
      <c r="G324" s="32">
        <v>40</v>
      </c>
      <c r="H324" s="32">
        <v>520</v>
      </c>
      <c r="I324" s="32">
        <v>1</v>
      </c>
      <c r="J324" s="32">
        <v>0</v>
      </c>
      <c r="K324" s="31">
        <v>20</v>
      </c>
      <c r="L324" s="39">
        <v>184706</v>
      </c>
      <c r="M324" s="33">
        <f>IF(E324="","",VLOOKUP(E324,'Base Datos'!$A$2:$M$150,3,FALSE))</f>
        <v>35</v>
      </c>
      <c r="N324" s="23">
        <f>IF(E324="","",VLOOKUP(E324,'Base Datos'!$A$2:$M$150,4,FALSE))</f>
        <v>103</v>
      </c>
      <c r="O324" s="23">
        <f>IF(E324="","",VLOOKUP(E324,'Base Datos'!$A$2:$M$150,5,FALSE))</f>
        <v>35</v>
      </c>
      <c r="P324" s="23">
        <f>IF(E324="","",VLOOKUP(E324,'Base Datos'!$A$2:$M$150,6,FALSE))</f>
        <v>824</v>
      </c>
      <c r="Q324" s="23">
        <f>IF(E324="","",VLOOKUP(E324,'Base Datos'!$A$2:$M$150,7,FALSE))</f>
        <v>1</v>
      </c>
      <c r="R324" s="40">
        <f>IF(E324="","",VLOOKUP(E324,'Base Datos'!$A$2:$M$150,8,FALSE))</f>
        <v>65</v>
      </c>
      <c r="S324" s="40" t="str">
        <f>IF(E324="","",VLOOKUP(E324,'Base Datos'!$A$2:$M$150,9,FALSE))</f>
        <v>PP</v>
      </c>
      <c r="T324" s="33">
        <f>IF(E324="","",(H324*I324)-(J324+K324))</f>
        <v>500</v>
      </c>
      <c r="U324" s="33">
        <f>IF(E324="","",(H324*R324)/1000)</f>
        <v>33.799999999999997</v>
      </c>
      <c r="V324" s="123">
        <f>IF(G324="",0,(G324*H324)/3600)</f>
        <v>5.7777777777777777</v>
      </c>
      <c r="W324" s="45">
        <f>IFERROR(IF(E324="","",(H324/P324)),0)</f>
        <v>0.6310679611650486</v>
      </c>
      <c r="X324" s="94">
        <f>WEEKDAY(A324,1)</f>
        <v>6</v>
      </c>
      <c r="Y324" s="120">
        <f>MONTH(A324)</f>
        <v>7</v>
      </c>
      <c r="Z324" s="125">
        <f>WEEKNUM(A324)-WEEKNUM(DATE(YEAR(A324),MONTH(A324),1))+1</f>
        <v>2</v>
      </c>
      <c r="AA324" s="126">
        <f>IF(V324="",0,V324/8)</f>
        <v>0.72222222222222221</v>
      </c>
      <c r="AB324" s="125">
        <f>IF(E324="02PZ03405",0,1)</f>
        <v>1</v>
      </c>
    </row>
    <row r="325" spans="1:28" x14ac:dyDescent="0.2">
      <c r="A325" s="37">
        <v>44757</v>
      </c>
      <c r="B325" s="31" t="s">
        <v>86</v>
      </c>
      <c r="C325" s="31" t="s">
        <v>91</v>
      </c>
      <c r="D325" s="38">
        <v>3</v>
      </c>
      <c r="E325" s="39" t="s">
        <v>60</v>
      </c>
      <c r="F325" s="33" t="str">
        <f>IF(E325="","",VLOOKUP(E325,'Base Datos'!$A$2:$M$150,2,FALSE))</f>
        <v>Lata Baja 6 Colores</v>
      </c>
      <c r="G325" s="99">
        <v>40</v>
      </c>
      <c r="H325" s="102">
        <v>530</v>
      </c>
      <c r="I325" s="32">
        <v>1</v>
      </c>
      <c r="J325" s="32">
        <v>20</v>
      </c>
      <c r="K325" s="31">
        <v>0</v>
      </c>
      <c r="L325" s="39">
        <v>184706</v>
      </c>
      <c r="M325" s="33">
        <f>IF(E325="","",VLOOKUP(E325,'Base Datos'!$A$2:$M$150,3,FALSE))</f>
        <v>35</v>
      </c>
      <c r="N325" s="23">
        <f>IF(E325="","",VLOOKUP(E325,'Base Datos'!$A$2:$M$150,4,FALSE))</f>
        <v>103</v>
      </c>
      <c r="O325" s="23">
        <f>IF(E325="","",VLOOKUP(E325,'Base Datos'!$A$2:$M$150,5,FALSE))</f>
        <v>35</v>
      </c>
      <c r="P325" s="23">
        <f>IF(E325="","",VLOOKUP(E325,'Base Datos'!$A$2:$M$150,6,FALSE))</f>
        <v>824</v>
      </c>
      <c r="Q325" s="23">
        <f>IF(E325="","",VLOOKUP(E325,'Base Datos'!$A$2:$M$150,7,FALSE))</f>
        <v>1</v>
      </c>
      <c r="R325" s="40">
        <f>IF(E325="","",VLOOKUP(E325,'Base Datos'!$A$2:$M$150,8,FALSE))</f>
        <v>65</v>
      </c>
      <c r="S325" s="40" t="str">
        <f>IF(E325="","",VLOOKUP(E325,'Base Datos'!$A$2:$M$150,9,FALSE))</f>
        <v>PP</v>
      </c>
      <c r="T325" s="33">
        <f>IF(E325="","",(H325*I325)-(J325+K325))</f>
        <v>510</v>
      </c>
      <c r="U325" s="33">
        <f>IF(E325="","",(I325*R325)/1000)</f>
        <v>6.5000000000000002E-2</v>
      </c>
      <c r="V325" s="123">
        <f>IF(G325="",0,(G325*H325)/3600)</f>
        <v>5.8888888888888893</v>
      </c>
      <c r="W325" s="45">
        <f>IFERROR(IF(E325="","",(H325/P325)),0)</f>
        <v>0.64320388349514568</v>
      </c>
      <c r="X325" s="94">
        <f>WEEKDAY(A325,1)</f>
        <v>6</v>
      </c>
      <c r="Y325" s="120">
        <f>MONTH(A325)</f>
        <v>7</v>
      </c>
      <c r="Z325" s="125">
        <f>WEEKNUM(A325)-WEEKNUM(DATE(YEAR(A325),MONTH(A325),1))+1</f>
        <v>3</v>
      </c>
      <c r="AA325" s="126">
        <f>IF(V325="",0,V325/8)</f>
        <v>0.73611111111111116</v>
      </c>
      <c r="AB325" s="125">
        <f>IF(E325="02PZ03405",0,1)</f>
        <v>1</v>
      </c>
    </row>
    <row r="326" spans="1:28" x14ac:dyDescent="0.2">
      <c r="A326" s="37">
        <v>44756</v>
      </c>
      <c r="B326" s="31" t="s">
        <v>86</v>
      </c>
      <c r="C326" s="31" t="s">
        <v>91</v>
      </c>
      <c r="D326" s="38">
        <v>3</v>
      </c>
      <c r="E326" s="39" t="s">
        <v>60</v>
      </c>
      <c r="F326" s="33" t="str">
        <f>IF(E326="","",VLOOKUP(E326,'Base Datos'!$A$2:$M$150,2,FALSE))</f>
        <v>Lata Baja 6 Colores</v>
      </c>
      <c r="G326" s="99">
        <v>43.1</v>
      </c>
      <c r="H326" s="102">
        <v>543</v>
      </c>
      <c r="I326" s="32">
        <v>1</v>
      </c>
      <c r="J326" s="32">
        <v>17</v>
      </c>
      <c r="K326" s="31">
        <v>0</v>
      </c>
      <c r="L326" s="39">
        <v>184706</v>
      </c>
      <c r="M326" s="33">
        <f>IF(E326="","",VLOOKUP(E326,'Base Datos'!$A$2:$M$150,3,FALSE))</f>
        <v>35</v>
      </c>
      <c r="N326" s="23">
        <f>IF(E326="","",VLOOKUP(E326,'Base Datos'!$A$2:$M$150,4,FALSE))</f>
        <v>103</v>
      </c>
      <c r="O326" s="23">
        <f>IF(E326="","",VLOOKUP(E326,'Base Datos'!$A$2:$M$150,5,FALSE))</f>
        <v>35</v>
      </c>
      <c r="P326" s="23">
        <f>IF(E326="","",VLOOKUP(E326,'Base Datos'!$A$2:$M$150,6,FALSE))</f>
        <v>824</v>
      </c>
      <c r="Q326" s="23">
        <f>IF(E326="","",VLOOKUP(E326,'Base Datos'!$A$2:$M$150,7,FALSE))</f>
        <v>1</v>
      </c>
      <c r="R326" s="40">
        <f>IF(E326="","",VLOOKUP(E326,'Base Datos'!$A$2:$M$150,8,FALSE))</f>
        <v>65</v>
      </c>
      <c r="S326" s="40" t="str">
        <f>IF(E326="","",VLOOKUP(E326,'Base Datos'!$A$2:$M$150,9,FALSE))</f>
        <v>PP</v>
      </c>
      <c r="T326" s="33">
        <f>IF(E326="","",(H326*I326)-(J326+K326))</f>
        <v>526</v>
      </c>
      <c r="U326" s="33">
        <f>IF(E326="","",(I326*R326)/1000)</f>
        <v>6.5000000000000002E-2</v>
      </c>
      <c r="V326" s="123">
        <f>IF(G326="",0,(G326*H326)/3600)</f>
        <v>6.5009166666666669</v>
      </c>
      <c r="W326" s="45">
        <f>IFERROR(IF(E326="","",(H326/P326)),0)</f>
        <v>0.65898058252427183</v>
      </c>
      <c r="X326" s="94">
        <f>WEEKDAY(A326,1)</f>
        <v>5</v>
      </c>
      <c r="Y326" s="120">
        <f>MONTH(A326)</f>
        <v>7</v>
      </c>
      <c r="Z326" s="125">
        <f>WEEKNUM(A326)-WEEKNUM(DATE(YEAR(A326),MONTH(A326),1))+1</f>
        <v>3</v>
      </c>
      <c r="AA326" s="126">
        <f>IF(V326="",0,V326/8)</f>
        <v>0.81261458333333336</v>
      </c>
      <c r="AB326" s="125">
        <f>IF(E326="02PZ03405",0,1)</f>
        <v>1</v>
      </c>
    </row>
    <row r="327" spans="1:28" x14ac:dyDescent="0.2">
      <c r="A327" s="37">
        <v>44755</v>
      </c>
      <c r="B327" s="31" t="s">
        <v>86</v>
      </c>
      <c r="C327" s="31" t="s">
        <v>91</v>
      </c>
      <c r="D327" s="38">
        <v>3</v>
      </c>
      <c r="E327" s="39" t="s">
        <v>60</v>
      </c>
      <c r="F327" s="33" t="str">
        <f>IF(E327="","",VLOOKUP(E327,'Base Datos'!$A$2:$M$150,2,FALSE))</f>
        <v>Lata Baja 6 Colores</v>
      </c>
      <c r="G327" s="32">
        <v>45.6</v>
      </c>
      <c r="H327" s="102">
        <v>600</v>
      </c>
      <c r="I327" s="32">
        <v>1</v>
      </c>
      <c r="J327" s="32"/>
      <c r="K327" s="31">
        <v>25</v>
      </c>
      <c r="L327" s="39">
        <v>184706</v>
      </c>
      <c r="M327" s="33">
        <f>IF(E327="","",VLOOKUP(E327,'Base Datos'!$A$2:$M$150,3,FALSE))</f>
        <v>35</v>
      </c>
      <c r="N327" s="23">
        <f>IF(E327="","",VLOOKUP(E327,'Base Datos'!$A$2:$M$150,4,FALSE))</f>
        <v>103</v>
      </c>
      <c r="O327" s="23">
        <f>IF(E327="","",VLOOKUP(E327,'Base Datos'!$A$2:$M$150,5,FALSE))</f>
        <v>35</v>
      </c>
      <c r="P327" s="23">
        <f>IF(E327="","",VLOOKUP(E327,'Base Datos'!$A$2:$M$150,6,FALSE))</f>
        <v>824</v>
      </c>
      <c r="Q327" s="23">
        <f>IF(E327="","",VLOOKUP(E327,'Base Datos'!$A$2:$M$150,7,FALSE))</f>
        <v>1</v>
      </c>
      <c r="R327" s="40">
        <f>IF(E327="","",VLOOKUP(E327,'Base Datos'!$A$2:$M$150,8,FALSE))</f>
        <v>65</v>
      </c>
      <c r="S327" s="40" t="str">
        <f>IF(E327="","",VLOOKUP(E327,'Base Datos'!$A$2:$M$150,9,FALSE))</f>
        <v>PP</v>
      </c>
      <c r="T327" s="33">
        <f>IF(E327="","",(H327*I327)-(J327+K327))</f>
        <v>575</v>
      </c>
      <c r="U327" s="33">
        <f>IF(E327="","",(I327*R327)/1000)</f>
        <v>6.5000000000000002E-2</v>
      </c>
      <c r="V327" s="123">
        <f>IF(G327="",0,(G327*H327)/3600)</f>
        <v>7.6</v>
      </c>
      <c r="W327" s="45">
        <f>IFERROR(IF(E327="","",(H327/P327)),0)</f>
        <v>0.72815533980582525</v>
      </c>
      <c r="X327" s="94">
        <f>WEEKDAY(A327,1)</f>
        <v>4</v>
      </c>
      <c r="Y327" s="120">
        <f>MONTH(A327)</f>
        <v>7</v>
      </c>
      <c r="Z327" s="125">
        <f>WEEKNUM(A327)-WEEKNUM(DATE(YEAR(A327),MONTH(A327),1))+1</f>
        <v>3</v>
      </c>
      <c r="AA327" s="126">
        <f>IF(V327="",0,V327/8)</f>
        <v>0.95</v>
      </c>
      <c r="AB327" s="125">
        <f>IF(E327="02PZ03405",0,1)</f>
        <v>1</v>
      </c>
    </row>
    <row r="328" spans="1:28" x14ac:dyDescent="0.2">
      <c r="A328" s="37">
        <v>44756</v>
      </c>
      <c r="B328" s="31" t="s">
        <v>34</v>
      </c>
      <c r="C328" s="31" t="s">
        <v>88</v>
      </c>
      <c r="D328" s="38">
        <v>3</v>
      </c>
      <c r="E328" s="39" t="s">
        <v>60</v>
      </c>
      <c r="F328" s="33" t="str">
        <f>IF(E328="","",VLOOKUP(E328,'Base Datos'!$A$2:$M$150,2,FALSE))</f>
        <v>Lata Baja 6 Colores</v>
      </c>
      <c r="G328" s="32">
        <v>43.6</v>
      </c>
      <c r="H328" s="102">
        <v>657</v>
      </c>
      <c r="I328" s="32">
        <v>1</v>
      </c>
      <c r="J328" s="32"/>
      <c r="K328" s="31">
        <v>30</v>
      </c>
      <c r="L328" s="39">
        <v>184706</v>
      </c>
      <c r="M328" s="33">
        <f>IF(E328="","",VLOOKUP(E328,'Base Datos'!$A$2:$M$150,3,FALSE))</f>
        <v>35</v>
      </c>
      <c r="N328" s="23">
        <f>IF(E328="","",VLOOKUP(E328,'Base Datos'!$A$2:$M$150,4,FALSE))</f>
        <v>103</v>
      </c>
      <c r="O328" s="23">
        <f>IF(E328="","",VLOOKUP(E328,'Base Datos'!$A$2:$M$150,5,FALSE))</f>
        <v>35</v>
      </c>
      <c r="P328" s="23">
        <f>IF(E328="","",VLOOKUP(E328,'Base Datos'!$A$2:$M$150,6,FALSE))</f>
        <v>824</v>
      </c>
      <c r="Q328" s="23">
        <f>IF(E328="","",VLOOKUP(E328,'Base Datos'!$A$2:$M$150,7,FALSE))</f>
        <v>1</v>
      </c>
      <c r="R328" s="40">
        <f>IF(E328="","",VLOOKUP(E328,'Base Datos'!$A$2:$M$150,8,FALSE))</f>
        <v>65</v>
      </c>
      <c r="S328" s="40" t="str">
        <f>IF(E328="","",VLOOKUP(E328,'Base Datos'!$A$2:$M$150,9,FALSE))</f>
        <v>PP</v>
      </c>
      <c r="T328" s="33">
        <f>IF(E328="","",(H328*I328)-(J328+K328))</f>
        <v>627</v>
      </c>
      <c r="U328" s="33">
        <f>IF(E328="","",(I328*R328)/1000)</f>
        <v>6.5000000000000002E-2</v>
      </c>
      <c r="V328" s="123">
        <f>IF(G328="",0,(G328*H328)/3600)</f>
        <v>7.9569999999999999</v>
      </c>
      <c r="W328" s="45">
        <f>IFERROR(IF(E328="","",(H328/P328)),0)</f>
        <v>0.79733009708737868</v>
      </c>
      <c r="X328" s="94">
        <f>WEEKDAY(A328,1)</f>
        <v>5</v>
      </c>
      <c r="Y328" s="120">
        <f>MONTH(A328)</f>
        <v>7</v>
      </c>
      <c r="Z328" s="125">
        <f>WEEKNUM(A328)-WEEKNUM(DATE(YEAR(A328),MONTH(A328),1))+1</f>
        <v>3</v>
      </c>
      <c r="AA328" s="126">
        <f>IF(V328="",0,V328/8)</f>
        <v>0.99462499999999998</v>
      </c>
      <c r="AB328" s="125">
        <f>IF(E328="02PZ03405",0,1)</f>
        <v>1</v>
      </c>
    </row>
    <row r="329" spans="1:28" x14ac:dyDescent="0.2">
      <c r="A329" s="37">
        <v>44757</v>
      </c>
      <c r="B329" s="119" t="s">
        <v>87</v>
      </c>
      <c r="C329" s="31" t="s">
        <v>93</v>
      </c>
      <c r="D329" s="38">
        <v>3</v>
      </c>
      <c r="E329" s="39" t="s">
        <v>60</v>
      </c>
      <c r="F329" s="33" t="str">
        <f>IF(E329="","",VLOOKUP(E329,'Base Datos'!$A$2:$M$150,2,FALSE))</f>
        <v>Lata Baja 6 Colores</v>
      </c>
      <c r="G329" s="99">
        <v>36</v>
      </c>
      <c r="H329" s="102">
        <v>212</v>
      </c>
      <c r="I329" s="32">
        <v>1</v>
      </c>
      <c r="J329" s="32">
        <v>2</v>
      </c>
      <c r="K329" s="31">
        <v>3</v>
      </c>
      <c r="L329" s="39">
        <v>184706</v>
      </c>
      <c r="M329" s="33">
        <f>IF(E329="","",VLOOKUP(E329,'Base Datos'!$A$2:$M$150,3,FALSE))</f>
        <v>35</v>
      </c>
      <c r="N329" s="23">
        <f>IF(E329="","",VLOOKUP(E329,'Base Datos'!$A$2:$M$150,4,FALSE))</f>
        <v>103</v>
      </c>
      <c r="O329" s="23">
        <f>IF(E329="","",VLOOKUP(E329,'Base Datos'!$A$2:$M$150,5,FALSE))</f>
        <v>35</v>
      </c>
      <c r="P329" s="23">
        <f>IF(E329="","",VLOOKUP(E329,'Base Datos'!$A$2:$M$150,6,FALSE))</f>
        <v>824</v>
      </c>
      <c r="Q329" s="23">
        <f>IF(E329="","",VLOOKUP(E329,'Base Datos'!$A$2:$M$150,7,FALSE))</f>
        <v>1</v>
      </c>
      <c r="R329" s="40">
        <f>IF(E329="","",VLOOKUP(E329,'Base Datos'!$A$2:$M$150,8,FALSE))</f>
        <v>65</v>
      </c>
      <c r="S329" s="40" t="str">
        <f>IF(E329="","",VLOOKUP(E329,'Base Datos'!$A$2:$M$150,9,FALSE))</f>
        <v>PP</v>
      </c>
      <c r="T329" s="33">
        <f>IF(E329="","",(H329*I329)-(J329+K329))</f>
        <v>207</v>
      </c>
      <c r="U329" s="33">
        <f>IF(E329="","",(I329*R329)/1000)</f>
        <v>6.5000000000000002E-2</v>
      </c>
      <c r="V329" s="123">
        <f>IF(G329="",0,(G329*H329)/3600)</f>
        <v>2.12</v>
      </c>
      <c r="W329" s="45">
        <f>IFERROR(IF(E329="","",(H329/P329)),0)</f>
        <v>0.25728155339805825</v>
      </c>
      <c r="X329" s="94">
        <f>WEEKDAY(A329,1)</f>
        <v>6</v>
      </c>
      <c r="Y329" s="120">
        <f>MONTH(A329)</f>
        <v>7</v>
      </c>
      <c r="Z329" s="125">
        <f>WEEKNUM(A329)-WEEKNUM(DATE(YEAR(A329),MONTH(A329),1))+1</f>
        <v>3</v>
      </c>
      <c r="AA329" s="126">
        <f>IF(V329="",0,V329/8)</f>
        <v>0.26500000000000001</v>
      </c>
      <c r="AB329" s="125">
        <f>IF(E329="02PZ03405",0,1)</f>
        <v>1</v>
      </c>
    </row>
    <row r="330" spans="1:28" x14ac:dyDescent="0.2">
      <c r="A330" s="37">
        <v>44756</v>
      </c>
      <c r="B330" s="31" t="s">
        <v>87</v>
      </c>
      <c r="C330" s="31" t="s">
        <v>93</v>
      </c>
      <c r="D330" s="38">
        <v>3</v>
      </c>
      <c r="E330" s="39" t="s">
        <v>60</v>
      </c>
      <c r="F330" s="33" t="str">
        <f>IF(E330="","",VLOOKUP(E330,'Base Datos'!$A$2:$M$150,2,FALSE))</f>
        <v>Lata Baja 6 Colores</v>
      </c>
      <c r="G330" s="99">
        <v>31.3</v>
      </c>
      <c r="H330" s="102">
        <v>832</v>
      </c>
      <c r="I330" s="32">
        <v>1</v>
      </c>
      <c r="J330" s="32">
        <v>0</v>
      </c>
      <c r="K330" s="31">
        <v>12</v>
      </c>
      <c r="L330" s="39">
        <v>184706</v>
      </c>
      <c r="M330" s="33">
        <f>IF(E330="","",VLOOKUP(E330,'Base Datos'!$A$2:$M$150,3,FALSE))</f>
        <v>35</v>
      </c>
      <c r="N330" s="23">
        <f>IF(E330="","",VLOOKUP(E330,'Base Datos'!$A$2:$M$150,4,FALSE))</f>
        <v>103</v>
      </c>
      <c r="O330" s="23">
        <f>IF(E330="","",VLOOKUP(E330,'Base Datos'!$A$2:$M$150,5,FALSE))</f>
        <v>35</v>
      </c>
      <c r="P330" s="23">
        <f>IF(E330="","",VLOOKUP(E330,'Base Datos'!$A$2:$M$150,6,FALSE))</f>
        <v>824</v>
      </c>
      <c r="Q330" s="23">
        <f>IF(E330="","",VLOOKUP(E330,'Base Datos'!$A$2:$M$150,7,FALSE))</f>
        <v>1</v>
      </c>
      <c r="R330" s="40">
        <f>IF(E330="","",VLOOKUP(E330,'Base Datos'!$A$2:$M$150,8,FALSE))</f>
        <v>65</v>
      </c>
      <c r="S330" s="40" t="str">
        <f>IF(E330="","",VLOOKUP(E330,'Base Datos'!$A$2:$M$150,9,FALSE))</f>
        <v>PP</v>
      </c>
      <c r="T330" s="33">
        <f>IF(E330="","",(H330*I330)-(J330+K330))</f>
        <v>820</v>
      </c>
      <c r="U330" s="33">
        <f>IF(E330="","",(I330*R330)/1000)</f>
        <v>6.5000000000000002E-2</v>
      </c>
      <c r="V330" s="123">
        <f>IF(G330="",0,(G330*H330)/3600)</f>
        <v>7.2337777777777781</v>
      </c>
      <c r="W330" s="45">
        <f>IFERROR(IF(E330="","",(H330/P330)),0)</f>
        <v>1.0097087378640777</v>
      </c>
      <c r="X330" s="94">
        <f>WEEKDAY(A330,1)</f>
        <v>5</v>
      </c>
      <c r="Y330" s="120">
        <f>MONTH(A330)</f>
        <v>7</v>
      </c>
      <c r="Z330" s="125">
        <f>WEEKNUM(A330)-WEEKNUM(DATE(YEAR(A330),MONTH(A330),1))+1</f>
        <v>3</v>
      </c>
      <c r="AA330" s="126">
        <f>IF(V330="",0,V330/8)</f>
        <v>0.90422222222222226</v>
      </c>
      <c r="AB330" s="125">
        <f>IF(E330="02PZ03405",0,1)</f>
        <v>1</v>
      </c>
    </row>
    <row r="331" spans="1:28" x14ac:dyDescent="0.2">
      <c r="A331" s="37">
        <v>44755</v>
      </c>
      <c r="B331" s="31" t="s">
        <v>87</v>
      </c>
      <c r="C331" s="31" t="s">
        <v>93</v>
      </c>
      <c r="D331" s="38">
        <v>3</v>
      </c>
      <c r="E331" s="39" t="s">
        <v>60</v>
      </c>
      <c r="F331" s="33" t="str">
        <f>IF(E331="","",VLOOKUP(E331,'Base Datos'!$A$2:$M$150,2,FALSE))</f>
        <v>Lata Baja 6 Colores</v>
      </c>
      <c r="G331" s="32">
        <v>31.6</v>
      </c>
      <c r="H331" s="102">
        <v>894</v>
      </c>
      <c r="I331" s="32">
        <v>1</v>
      </c>
      <c r="J331" s="32">
        <v>0</v>
      </c>
      <c r="K331" s="31">
        <v>10</v>
      </c>
      <c r="L331" s="39">
        <v>184706</v>
      </c>
      <c r="M331" s="33">
        <f>IF(E331="","",VLOOKUP(E331,'Base Datos'!$A$2:$M$150,3,FALSE))</f>
        <v>35</v>
      </c>
      <c r="N331" s="23">
        <f>IF(E331="","",VLOOKUP(E331,'Base Datos'!$A$2:$M$150,4,FALSE))</f>
        <v>103</v>
      </c>
      <c r="O331" s="23">
        <f>IF(E331="","",VLOOKUP(E331,'Base Datos'!$A$2:$M$150,5,FALSE))</f>
        <v>35</v>
      </c>
      <c r="P331" s="23">
        <f>IF(E331="","",VLOOKUP(E331,'Base Datos'!$A$2:$M$150,6,FALSE))</f>
        <v>824</v>
      </c>
      <c r="Q331" s="23">
        <f>IF(E331="","",VLOOKUP(E331,'Base Datos'!$A$2:$M$150,7,FALSE))</f>
        <v>1</v>
      </c>
      <c r="R331" s="40">
        <f>IF(E331="","",VLOOKUP(E331,'Base Datos'!$A$2:$M$150,8,FALSE))</f>
        <v>65</v>
      </c>
      <c r="S331" s="40" t="str">
        <f>IF(E331="","",VLOOKUP(E331,'Base Datos'!$A$2:$M$150,9,FALSE))</f>
        <v>PP</v>
      </c>
      <c r="T331" s="33">
        <f>IF(E331="","",(H331*I331)-(J331+K331))</f>
        <v>884</v>
      </c>
      <c r="U331" s="33">
        <f>IF(E331="","",(I331*R331)/1000)</f>
        <v>6.5000000000000002E-2</v>
      </c>
      <c r="V331" s="123">
        <f>IF(G331="",0,(G331*H331)/3600)</f>
        <v>7.8473333333333342</v>
      </c>
      <c r="W331" s="45">
        <f>IFERROR(IF(E331="","",(H331/P331)),0)</f>
        <v>1.0849514563106797</v>
      </c>
      <c r="X331" s="94">
        <f>WEEKDAY(A331,1)</f>
        <v>4</v>
      </c>
      <c r="Y331" s="120">
        <f>MONTH(A331)</f>
        <v>7</v>
      </c>
      <c r="Z331" s="125">
        <f>WEEKNUM(A331)-WEEKNUM(DATE(YEAR(A331),MONTH(A331),1))+1</f>
        <v>3</v>
      </c>
      <c r="AA331" s="126">
        <f>IF(V331="",0,V331/8)</f>
        <v>0.98091666666666677</v>
      </c>
      <c r="AB331" s="125">
        <f>IF(E331="02PZ03405",0,1)</f>
        <v>1</v>
      </c>
    </row>
    <row r="332" spans="1:28" x14ac:dyDescent="0.2">
      <c r="A332" s="37">
        <v>44777</v>
      </c>
      <c r="B332" s="31" t="s">
        <v>87</v>
      </c>
      <c r="C332" s="31" t="s">
        <v>92</v>
      </c>
      <c r="D332" s="38">
        <v>1</v>
      </c>
      <c r="E332" s="39" t="s">
        <v>63</v>
      </c>
      <c r="F332" s="33" t="str">
        <f>IF(E332="","",VLOOKUP(E332,'Base Datos'!$A$2:$M$150,2,FALSE))</f>
        <v>Lata Alta Glitter</v>
      </c>
      <c r="G332" s="99">
        <v>45</v>
      </c>
      <c r="H332" s="102">
        <v>640</v>
      </c>
      <c r="I332" s="32">
        <v>1</v>
      </c>
      <c r="J332" s="32"/>
      <c r="K332" s="31">
        <v>1</v>
      </c>
      <c r="L332" s="39">
        <v>184975</v>
      </c>
      <c r="M332" s="33">
        <f>IF(E332="","",VLOOKUP(E332,'Base Datos'!$A$2:$M$150,3,FALSE))</f>
        <v>35</v>
      </c>
      <c r="N332" s="23">
        <f>IF(E332="","",VLOOKUP(E332,'Base Datos'!$A$2:$M$150,4,FALSE))</f>
        <v>103</v>
      </c>
      <c r="O332" s="23">
        <f>IF(E332="","",VLOOKUP(E332,'Base Datos'!$A$2:$M$150,5,FALSE))</f>
        <v>35</v>
      </c>
      <c r="P332" s="23">
        <f>IF(E332="","",VLOOKUP(E332,'Base Datos'!$A$2:$M$150,6,FALSE))</f>
        <v>824</v>
      </c>
      <c r="Q332" s="23">
        <f>IF(E332="","",VLOOKUP(E332,'Base Datos'!$A$2:$M$150,7,FALSE))</f>
        <v>1</v>
      </c>
      <c r="R332" s="40">
        <f>IF(E332="","",VLOOKUP(E332,'Base Datos'!$A$2:$M$150,8,FALSE))</f>
        <v>110</v>
      </c>
      <c r="S332" s="40" t="str">
        <f>IF(E332="","",VLOOKUP(E332,'Base Datos'!$A$2:$M$150,9,FALSE))</f>
        <v>PP</v>
      </c>
      <c r="T332" s="33">
        <f>IF(E332="","",(H332*I332)-(J332+K332))</f>
        <v>639</v>
      </c>
      <c r="U332" s="33">
        <f>IF(E332="","",(I332*R332)/1000)</f>
        <v>0.11</v>
      </c>
      <c r="V332" s="123">
        <f>IF(G332="",0,(G332*H332)/3600)</f>
        <v>8</v>
      </c>
      <c r="W332" s="45">
        <f>IFERROR(IF(E332="","",(H332/P332)),0)</f>
        <v>0.77669902912621358</v>
      </c>
      <c r="X332" s="23">
        <f>WEEKDAY(A332,1)</f>
        <v>5</v>
      </c>
      <c r="Y332" s="120">
        <f>MONTH(A332)</f>
        <v>8</v>
      </c>
      <c r="Z332" s="125">
        <f>WEEKNUM(A332)-WEEKNUM(DATE(YEAR(A332),MONTH(A332),1))+1</f>
        <v>1</v>
      </c>
      <c r="AA332" s="126">
        <f>IF(V332="",0,V332/8)</f>
        <v>1</v>
      </c>
      <c r="AB332" s="125">
        <f>IF(E332="02PZ03405",0,1)</f>
        <v>1</v>
      </c>
    </row>
    <row r="333" spans="1:28" x14ac:dyDescent="0.2">
      <c r="A333" s="37">
        <v>44776</v>
      </c>
      <c r="B333" s="31" t="s">
        <v>87</v>
      </c>
      <c r="C333" s="31" t="s">
        <v>92</v>
      </c>
      <c r="D333" s="38">
        <v>1</v>
      </c>
      <c r="E333" s="39" t="s">
        <v>63</v>
      </c>
      <c r="F333" s="33" t="str">
        <f>IF(E333="","",VLOOKUP(E333,'Base Datos'!$A$2:$M$150,2,FALSE))</f>
        <v>Lata Alta Glitter</v>
      </c>
      <c r="G333" s="99">
        <v>47.8</v>
      </c>
      <c r="H333" s="102">
        <v>570</v>
      </c>
      <c r="I333" s="32">
        <v>1</v>
      </c>
      <c r="J333" s="32"/>
      <c r="K333" s="31">
        <v>1</v>
      </c>
      <c r="L333" s="39">
        <v>184975</v>
      </c>
      <c r="M333" s="33">
        <f>IF(E333="","",VLOOKUP(E333,'Base Datos'!$A$2:$M$150,3,FALSE))</f>
        <v>35</v>
      </c>
      <c r="N333" s="23">
        <f>IF(E333="","",VLOOKUP(E333,'Base Datos'!$A$2:$M$150,4,FALSE))</f>
        <v>103</v>
      </c>
      <c r="O333" s="23">
        <f>IF(E333="","",VLOOKUP(E333,'Base Datos'!$A$2:$M$150,5,FALSE))</f>
        <v>35</v>
      </c>
      <c r="P333" s="23">
        <f>IF(E333="","",VLOOKUP(E333,'Base Datos'!$A$2:$M$150,6,FALSE))</f>
        <v>824</v>
      </c>
      <c r="Q333" s="23">
        <f>IF(E333="","",VLOOKUP(E333,'Base Datos'!$A$2:$M$150,7,FALSE))</f>
        <v>1</v>
      </c>
      <c r="R333" s="40">
        <f>IF(E333="","",VLOOKUP(E333,'Base Datos'!$A$2:$M$150,8,FALSE))</f>
        <v>110</v>
      </c>
      <c r="S333" s="40" t="str">
        <f>IF(E333="","",VLOOKUP(E333,'Base Datos'!$A$2:$M$150,9,FALSE))</f>
        <v>PP</v>
      </c>
      <c r="T333" s="33">
        <f>IF(E333="","",(H333*I333)-(J333+K333))</f>
        <v>569</v>
      </c>
      <c r="U333" s="33">
        <f>IF(E333="","",(I333*R333)/1000)</f>
        <v>0.11</v>
      </c>
      <c r="V333" s="123">
        <f>IF(G333="",0,(G333*H333)/3600)</f>
        <v>7.5683333333333334</v>
      </c>
      <c r="W333" s="45">
        <f>IFERROR(IF(E333="","",(H333/P333)),0)</f>
        <v>0.69174757281553401</v>
      </c>
      <c r="X333" s="23">
        <f>WEEKDAY(A333,1)</f>
        <v>4</v>
      </c>
      <c r="Y333" s="120">
        <f>MONTH(A333)</f>
        <v>8</v>
      </c>
      <c r="Z333" s="125">
        <f>WEEKNUM(A333)-WEEKNUM(DATE(YEAR(A333),MONTH(A333),1))+1</f>
        <v>1</v>
      </c>
      <c r="AA333" s="126">
        <f>IF(V333="",0,V333/8)</f>
        <v>0.94604166666666667</v>
      </c>
      <c r="AB333" s="125">
        <f>IF(E333="02PZ03405",0,1)</f>
        <v>1</v>
      </c>
    </row>
    <row r="334" spans="1:28" x14ac:dyDescent="0.2">
      <c r="A334" s="37">
        <v>44775</v>
      </c>
      <c r="B334" s="31" t="s">
        <v>87</v>
      </c>
      <c r="C334" s="31" t="s">
        <v>92</v>
      </c>
      <c r="D334" s="38">
        <v>1</v>
      </c>
      <c r="E334" s="39" t="s">
        <v>63</v>
      </c>
      <c r="F334" s="33" t="str">
        <f>IF(E334="","",VLOOKUP(E334,'Base Datos'!$A$2:$M$150,2,FALSE))</f>
        <v>Lata Alta Glitter</v>
      </c>
      <c r="G334" s="99">
        <v>47</v>
      </c>
      <c r="H334" s="102">
        <v>600</v>
      </c>
      <c r="I334" s="32">
        <v>1</v>
      </c>
      <c r="J334" s="32"/>
      <c r="K334" s="31">
        <v>1</v>
      </c>
      <c r="L334" s="39">
        <v>184975</v>
      </c>
      <c r="M334" s="33">
        <f>IF(E334="","",VLOOKUP(E334,'Base Datos'!$A$2:$M$150,3,FALSE))</f>
        <v>35</v>
      </c>
      <c r="N334" s="23">
        <f>IF(E334="","",VLOOKUP(E334,'Base Datos'!$A$2:$M$150,4,FALSE))</f>
        <v>103</v>
      </c>
      <c r="O334" s="23">
        <f>IF(E334="","",VLOOKUP(E334,'Base Datos'!$A$2:$M$150,5,FALSE))</f>
        <v>35</v>
      </c>
      <c r="P334" s="23">
        <f>IF(E334="","",VLOOKUP(E334,'Base Datos'!$A$2:$M$150,6,FALSE))</f>
        <v>824</v>
      </c>
      <c r="Q334" s="23">
        <f>IF(E334="","",VLOOKUP(E334,'Base Datos'!$A$2:$M$150,7,FALSE))</f>
        <v>1</v>
      </c>
      <c r="R334" s="40">
        <f>IF(E334="","",VLOOKUP(E334,'Base Datos'!$A$2:$M$150,8,FALSE))</f>
        <v>110</v>
      </c>
      <c r="S334" s="40" t="str">
        <f>IF(E334="","",VLOOKUP(E334,'Base Datos'!$A$2:$M$150,9,FALSE))</f>
        <v>PP</v>
      </c>
      <c r="T334" s="33">
        <f>IF(E334="","",(H334*I334)-(J334+K334))</f>
        <v>599</v>
      </c>
      <c r="U334" s="33">
        <f>IF(E334="","",(I334*R334)/1000)</f>
        <v>0.11</v>
      </c>
      <c r="V334" s="123">
        <f>IF(G334="",0,(G334*H334)/3600)</f>
        <v>7.833333333333333</v>
      </c>
      <c r="W334" s="45">
        <f>IFERROR(IF(E334="","",(H334/P334)),0)</f>
        <v>0.72815533980582525</v>
      </c>
      <c r="X334" s="94">
        <f>WEEKDAY(A334,1)</f>
        <v>3</v>
      </c>
      <c r="Y334" s="120">
        <f>MONTH(A334)</f>
        <v>8</v>
      </c>
      <c r="Z334" s="125">
        <f>WEEKNUM(A334)-WEEKNUM(DATE(YEAR(A334),MONTH(A334),1))+1</f>
        <v>1</v>
      </c>
      <c r="AA334" s="126">
        <f>IF(V334="",0,V334/8)</f>
        <v>0.97916666666666663</v>
      </c>
      <c r="AB334" s="125">
        <f>IF(E334="02PZ03405",0,1)</f>
        <v>1</v>
      </c>
    </row>
    <row r="335" spans="1:28" x14ac:dyDescent="0.2">
      <c r="A335" s="101">
        <v>44748</v>
      </c>
      <c r="B335" s="96" t="s">
        <v>87</v>
      </c>
      <c r="C335" s="96" t="s">
        <v>92</v>
      </c>
      <c r="D335" s="38">
        <v>1</v>
      </c>
      <c r="E335" s="39" t="s">
        <v>63</v>
      </c>
      <c r="F335" s="95" t="str">
        <f>IF(E335="","",VLOOKUP(E335,'Base Datos'!$A$2:$M$150,2,FALSE))</f>
        <v>Lata Alta Glitter</v>
      </c>
      <c r="G335" s="99">
        <v>35</v>
      </c>
      <c r="H335" s="99">
        <v>790</v>
      </c>
      <c r="I335" s="99">
        <v>1</v>
      </c>
      <c r="J335" s="99">
        <v>0</v>
      </c>
      <c r="K335" s="39">
        <v>10</v>
      </c>
      <c r="L335" s="39">
        <v>183475</v>
      </c>
      <c r="M335" s="97">
        <f>IF(E335="","",VLOOKUP(E335,'Base Datos'!$A$2:$M$150,3,FALSE))</f>
        <v>35</v>
      </c>
      <c r="N335" s="40">
        <f>IF(E335="","",VLOOKUP(E335,'Base Datos'!$A$2:$M$150,4,FALSE))</f>
        <v>103</v>
      </c>
      <c r="O335" s="40">
        <f>IF(E335="","",VLOOKUP(E335,'Base Datos'!$A$2:$M$150,5,FALSE))</f>
        <v>35</v>
      </c>
      <c r="P335" s="40">
        <f>IF(E335="","",VLOOKUP(E335,'Base Datos'!$A$2:$M$150,6,FALSE))</f>
        <v>824</v>
      </c>
      <c r="Q335" s="40">
        <f>IF(E335="","",VLOOKUP(E335,'Base Datos'!$A$2:$M$150,7,FALSE))</f>
        <v>1</v>
      </c>
      <c r="R335" s="40">
        <f>IF(E335="","",VLOOKUP(E335,'Base Datos'!$A$2:$M$150,8,FALSE))</f>
        <v>110</v>
      </c>
      <c r="S335" s="40" t="str">
        <f>IF(E335="","",VLOOKUP(E335,'Base Datos'!$A$2:$M$150,9,FALSE))</f>
        <v>PP</v>
      </c>
      <c r="T335" s="97">
        <f>IF(E335="","",(H335*I335)-(J335+K335))</f>
        <v>780</v>
      </c>
      <c r="U335" s="98">
        <f>IF(E335="","",(H335*R335)/1000)</f>
        <v>86.9</v>
      </c>
      <c r="V335" s="123">
        <f>IF(G335="",0,(G335*H335)/3600)</f>
        <v>7.6805555555555554</v>
      </c>
      <c r="W335" s="45">
        <f>IFERROR(IF(E335="","",(H335/P335)),0)</f>
        <v>0.95873786407766992</v>
      </c>
      <c r="X335" s="94">
        <f>WEEKDAY(A335,1)</f>
        <v>4</v>
      </c>
      <c r="Y335" s="120">
        <f>MONTH(A335)</f>
        <v>7</v>
      </c>
      <c r="Z335" s="125">
        <f>WEEKNUM(A335)-WEEKNUM(DATE(YEAR(A335),MONTH(A335),1))+1</f>
        <v>2</v>
      </c>
      <c r="AA335" s="126">
        <f>IF(V335="",0,V335/8)</f>
        <v>0.96006944444444442</v>
      </c>
      <c r="AB335" s="125">
        <f>IF(E335="02PZ03405",0,1)</f>
        <v>1</v>
      </c>
    </row>
    <row r="336" spans="1:28" x14ac:dyDescent="0.2">
      <c r="A336" s="37">
        <v>44777</v>
      </c>
      <c r="B336" s="31" t="s">
        <v>34</v>
      </c>
      <c r="C336" s="31" t="s">
        <v>89</v>
      </c>
      <c r="D336" s="38">
        <v>1</v>
      </c>
      <c r="E336" s="39" t="s">
        <v>63</v>
      </c>
      <c r="F336" s="33" t="str">
        <f>IF(E336="","",VLOOKUP(E336,'Base Datos'!$A$2:$M$150,2,FALSE))</f>
        <v>Lata Alta Glitter</v>
      </c>
      <c r="G336" s="99">
        <v>47.5</v>
      </c>
      <c r="H336" s="102">
        <v>510</v>
      </c>
      <c r="I336" s="32">
        <v>1</v>
      </c>
      <c r="J336" s="32"/>
      <c r="K336" s="31">
        <v>20</v>
      </c>
      <c r="L336" s="39">
        <v>184975</v>
      </c>
      <c r="M336" s="33">
        <f>IF(E336="","",VLOOKUP(E336,'Base Datos'!$A$2:$M$150,3,FALSE))</f>
        <v>35</v>
      </c>
      <c r="N336" s="23">
        <f>IF(E336="","",VLOOKUP(E336,'Base Datos'!$A$2:$M$150,4,FALSE))</f>
        <v>103</v>
      </c>
      <c r="O336" s="23">
        <f>IF(E336="","",VLOOKUP(E336,'Base Datos'!$A$2:$M$150,5,FALSE))</f>
        <v>35</v>
      </c>
      <c r="P336" s="23">
        <f>IF(E336="","",VLOOKUP(E336,'Base Datos'!$A$2:$M$150,6,FALSE))</f>
        <v>824</v>
      </c>
      <c r="Q336" s="23">
        <f>IF(E336="","",VLOOKUP(E336,'Base Datos'!$A$2:$M$150,7,FALSE))</f>
        <v>1</v>
      </c>
      <c r="R336" s="40">
        <f>IF(E336="","",VLOOKUP(E336,'Base Datos'!$A$2:$M$150,8,FALSE))</f>
        <v>110</v>
      </c>
      <c r="S336" s="40" t="str">
        <f>IF(E336="","",VLOOKUP(E336,'Base Datos'!$A$2:$M$150,9,FALSE))</f>
        <v>PP</v>
      </c>
      <c r="T336" s="33">
        <f>IF(E336="","",(H336*I336)-(J336+K336))</f>
        <v>490</v>
      </c>
      <c r="U336" s="33">
        <f>IF(E336="","",(I336*R336)/1000)</f>
        <v>0.11</v>
      </c>
      <c r="V336" s="123">
        <f>IF(G336="",0,(G336*H336)/3600)</f>
        <v>6.729166666666667</v>
      </c>
      <c r="W336" s="45">
        <f>IFERROR(IF(E336="","",(H336/P336)),0)</f>
        <v>0.6189320388349514</v>
      </c>
      <c r="X336" s="23">
        <f>WEEKDAY(A336,1)</f>
        <v>5</v>
      </c>
      <c r="Y336" s="120">
        <f>MONTH(A336)</f>
        <v>8</v>
      </c>
      <c r="Z336" s="125">
        <f>WEEKNUM(A336)-WEEKNUM(DATE(YEAR(A336),MONTH(A336),1))+1</f>
        <v>1</v>
      </c>
      <c r="AA336" s="126">
        <f>IF(V336="",0,V336/8)</f>
        <v>0.84114583333333337</v>
      </c>
      <c r="AB336" s="125">
        <f>IF(E336="02PZ03405",0,1)</f>
        <v>1</v>
      </c>
    </row>
    <row r="337" spans="1:28" x14ac:dyDescent="0.2">
      <c r="A337" s="37">
        <v>44776</v>
      </c>
      <c r="B337" s="31" t="s">
        <v>34</v>
      </c>
      <c r="C337" s="31" t="s">
        <v>89</v>
      </c>
      <c r="D337" s="38">
        <v>1</v>
      </c>
      <c r="E337" s="39" t="s">
        <v>63</v>
      </c>
      <c r="F337" s="33" t="str">
        <f>IF(E337="","",VLOOKUP(E337,'Base Datos'!$A$2:$M$150,2,FALSE))</f>
        <v>Lata Alta Glitter</v>
      </c>
      <c r="G337" s="99">
        <v>51.5</v>
      </c>
      <c r="H337" s="102">
        <v>572</v>
      </c>
      <c r="I337" s="32">
        <v>1</v>
      </c>
      <c r="J337" s="32"/>
      <c r="K337" s="31"/>
      <c r="L337" s="39">
        <v>184975</v>
      </c>
      <c r="M337" s="33">
        <f>IF(E337="","",VLOOKUP(E337,'Base Datos'!$A$2:$M$150,3,FALSE))</f>
        <v>35</v>
      </c>
      <c r="N337" s="23">
        <f>IF(E337="","",VLOOKUP(E337,'Base Datos'!$A$2:$M$150,4,FALSE))</f>
        <v>103</v>
      </c>
      <c r="O337" s="23">
        <f>IF(E337="","",VLOOKUP(E337,'Base Datos'!$A$2:$M$150,5,FALSE))</f>
        <v>35</v>
      </c>
      <c r="P337" s="23">
        <f>IF(E337="","",VLOOKUP(E337,'Base Datos'!$A$2:$M$150,6,FALSE))</f>
        <v>824</v>
      </c>
      <c r="Q337" s="23">
        <f>IF(E337="","",VLOOKUP(E337,'Base Datos'!$A$2:$M$150,7,FALSE))</f>
        <v>1</v>
      </c>
      <c r="R337" s="40">
        <f>IF(E337="","",VLOOKUP(E337,'Base Datos'!$A$2:$M$150,8,FALSE))</f>
        <v>110</v>
      </c>
      <c r="S337" s="40" t="str">
        <f>IF(E337="","",VLOOKUP(E337,'Base Datos'!$A$2:$M$150,9,FALSE))</f>
        <v>PP</v>
      </c>
      <c r="T337" s="33">
        <f>IF(E337="","",(H337*I337)-(J337+K337))</f>
        <v>572</v>
      </c>
      <c r="U337" s="33">
        <f>IF(E337="","",(I337*R337)/1000)</f>
        <v>0.11</v>
      </c>
      <c r="V337" s="123">
        <f>IF(G337="",0,(G337*H337)/3600)</f>
        <v>8.1827777777777779</v>
      </c>
      <c r="W337" s="45">
        <f>IFERROR(IF(E337="","",(H337/P337)),0)</f>
        <v>0.69417475728155342</v>
      </c>
      <c r="X337" s="23">
        <f>WEEKDAY(A337,1)</f>
        <v>4</v>
      </c>
      <c r="Y337" s="120">
        <f>MONTH(A337)</f>
        <v>8</v>
      </c>
      <c r="Z337" s="125">
        <f>WEEKNUM(A337)-WEEKNUM(DATE(YEAR(A337),MONTH(A337),1))+1</f>
        <v>1</v>
      </c>
      <c r="AA337" s="126">
        <f>IF(V337="",0,V337/8)</f>
        <v>1.0228472222222222</v>
      </c>
      <c r="AB337" s="125">
        <f>IF(E337="02PZ03405",0,1)</f>
        <v>1</v>
      </c>
    </row>
    <row r="338" spans="1:28" x14ac:dyDescent="0.2">
      <c r="A338" s="37">
        <v>44775</v>
      </c>
      <c r="B338" s="31" t="s">
        <v>34</v>
      </c>
      <c r="C338" s="31" t="s">
        <v>89</v>
      </c>
      <c r="D338" s="38">
        <v>1</v>
      </c>
      <c r="E338" s="39" t="s">
        <v>63</v>
      </c>
      <c r="F338" s="33" t="str">
        <f>IF(E338="","",VLOOKUP(E338,'Base Datos'!$A$2:$M$150,2,FALSE))</f>
        <v>Lata Alta Glitter</v>
      </c>
      <c r="G338" s="99">
        <v>40</v>
      </c>
      <c r="H338" s="102">
        <v>150</v>
      </c>
      <c r="I338" s="32">
        <v>1</v>
      </c>
      <c r="J338" s="32"/>
      <c r="K338" s="31">
        <v>20</v>
      </c>
      <c r="L338" s="39">
        <v>184975</v>
      </c>
      <c r="M338" s="33">
        <f>IF(E338="","",VLOOKUP(E338,'Base Datos'!$A$2:$M$150,3,FALSE))</f>
        <v>35</v>
      </c>
      <c r="N338" s="23">
        <f>IF(E338="","",VLOOKUP(E338,'Base Datos'!$A$2:$M$150,4,FALSE))</f>
        <v>103</v>
      </c>
      <c r="O338" s="23">
        <f>IF(E338="","",VLOOKUP(E338,'Base Datos'!$A$2:$M$150,5,FALSE))</f>
        <v>35</v>
      </c>
      <c r="P338" s="23">
        <f>IF(E338="","",VLOOKUP(E338,'Base Datos'!$A$2:$M$150,6,FALSE))</f>
        <v>824</v>
      </c>
      <c r="Q338" s="23">
        <f>IF(E338="","",VLOOKUP(E338,'Base Datos'!$A$2:$M$150,7,FALSE))</f>
        <v>1</v>
      </c>
      <c r="R338" s="40">
        <f>IF(E338="","",VLOOKUP(E338,'Base Datos'!$A$2:$M$150,8,FALSE))</f>
        <v>110</v>
      </c>
      <c r="S338" s="40" t="str">
        <f>IF(E338="","",VLOOKUP(E338,'Base Datos'!$A$2:$M$150,9,FALSE))</f>
        <v>PP</v>
      </c>
      <c r="T338" s="33">
        <f>IF(E338="","",(H338*I338)-(J338+K338))</f>
        <v>130</v>
      </c>
      <c r="U338" s="33">
        <f>IF(E338="","",(I338*R338)/1000)</f>
        <v>0.11</v>
      </c>
      <c r="V338" s="123">
        <f>IF(G338="",0,(G338*H338)/3600)</f>
        <v>1.6666666666666667</v>
      </c>
      <c r="W338" s="45">
        <f>IFERROR(IF(E338="","",(H338/P338)),0)</f>
        <v>0.18203883495145631</v>
      </c>
      <c r="X338" s="94">
        <f>WEEKDAY(A338,1)</f>
        <v>3</v>
      </c>
      <c r="Y338" s="120">
        <f>MONTH(A338)</f>
        <v>8</v>
      </c>
      <c r="Z338" s="125">
        <f>WEEKNUM(A338)-WEEKNUM(DATE(YEAR(A338),MONTH(A338),1))+1</f>
        <v>1</v>
      </c>
      <c r="AA338" s="126">
        <f>IF(V338="",0,V338/8)</f>
        <v>0.20833333333333334</v>
      </c>
      <c r="AB338" s="125">
        <f>IF(E338="02PZ03405",0,1)</f>
        <v>1</v>
      </c>
    </row>
    <row r="339" spans="1:28" x14ac:dyDescent="0.2">
      <c r="A339" s="37">
        <v>44755</v>
      </c>
      <c r="B339" s="31" t="s">
        <v>34</v>
      </c>
      <c r="C339" s="31" t="s">
        <v>89</v>
      </c>
      <c r="D339" s="38">
        <v>1</v>
      </c>
      <c r="E339" s="39" t="s">
        <v>63</v>
      </c>
      <c r="F339" s="33" t="str">
        <f>IF(E339="","",VLOOKUP(E339,'Base Datos'!$A$2:$M$150,2,FALSE))</f>
        <v>Lata Alta Glitter</v>
      </c>
      <c r="G339" s="32">
        <v>53</v>
      </c>
      <c r="H339" s="102">
        <v>500</v>
      </c>
      <c r="I339" s="32">
        <v>1</v>
      </c>
      <c r="J339" s="32"/>
      <c r="K339" s="31">
        <v>10</v>
      </c>
      <c r="L339" s="39">
        <v>184706</v>
      </c>
      <c r="M339" s="33">
        <f>IF(E339="","",VLOOKUP(E339,'Base Datos'!$A$2:$M$150,3,FALSE))</f>
        <v>35</v>
      </c>
      <c r="N339" s="23">
        <f>IF(E339="","",VLOOKUP(E339,'Base Datos'!$A$2:$M$150,4,FALSE))</f>
        <v>103</v>
      </c>
      <c r="O339" s="23">
        <f>IF(E339="","",VLOOKUP(E339,'Base Datos'!$A$2:$M$150,5,FALSE))</f>
        <v>35</v>
      </c>
      <c r="P339" s="23">
        <f>IF(E339="","",VLOOKUP(E339,'Base Datos'!$A$2:$M$150,6,FALSE))</f>
        <v>824</v>
      </c>
      <c r="Q339" s="23">
        <f>IF(E339="","",VLOOKUP(E339,'Base Datos'!$A$2:$M$150,7,FALSE))</f>
        <v>1</v>
      </c>
      <c r="R339" s="40">
        <f>IF(E339="","",VLOOKUP(E339,'Base Datos'!$A$2:$M$150,8,FALSE))</f>
        <v>110</v>
      </c>
      <c r="S339" s="40" t="str">
        <f>IF(E339="","",VLOOKUP(E339,'Base Datos'!$A$2:$M$150,9,FALSE))</f>
        <v>PP</v>
      </c>
      <c r="T339" s="33">
        <f>IF(E339="","",(H339*I339)-(J339+K339))</f>
        <v>490</v>
      </c>
      <c r="U339" s="33">
        <f>IF(E339="","",(I339*R339)/1000)</f>
        <v>0.11</v>
      </c>
      <c r="V339" s="123">
        <f>IF(G339="",0,(G339*H339)/3600)</f>
        <v>7.3611111111111107</v>
      </c>
      <c r="W339" s="45">
        <f>IFERROR(IF(E339="","",(H339/P339)),0)</f>
        <v>0.60679611650485432</v>
      </c>
      <c r="X339" s="94">
        <f>WEEKDAY(A339,1)</f>
        <v>4</v>
      </c>
      <c r="Y339" s="120">
        <f>MONTH(A339)</f>
        <v>7</v>
      </c>
      <c r="Z339" s="125">
        <f>WEEKNUM(A339)-WEEKNUM(DATE(YEAR(A339),MONTH(A339),1))+1</f>
        <v>3</v>
      </c>
      <c r="AA339" s="126">
        <f>IF(V339="",0,V339/8)</f>
        <v>0.92013888888888884</v>
      </c>
      <c r="AB339" s="125">
        <f>IF(E339="02PZ03405",0,1)</f>
        <v>1</v>
      </c>
    </row>
    <row r="340" spans="1:28" x14ac:dyDescent="0.2">
      <c r="A340" s="101">
        <v>44749</v>
      </c>
      <c r="B340" s="31" t="s">
        <v>34</v>
      </c>
      <c r="C340" s="31" t="s">
        <v>89</v>
      </c>
      <c r="D340" s="38">
        <v>1</v>
      </c>
      <c r="E340" s="39" t="s">
        <v>63</v>
      </c>
      <c r="F340" s="33" t="str">
        <f>IF(E340="","",VLOOKUP(E340,'Base Datos'!$A$2:$M$150,2,FALSE))</f>
        <v>Lata Alta Glitter</v>
      </c>
      <c r="G340" s="32">
        <v>57</v>
      </c>
      <c r="H340" s="32">
        <v>500</v>
      </c>
      <c r="I340" s="32">
        <v>1</v>
      </c>
      <c r="J340" s="32">
        <v>10</v>
      </c>
      <c r="K340" s="31">
        <v>5</v>
      </c>
      <c r="L340" s="39">
        <v>183471</v>
      </c>
      <c r="M340" s="33">
        <f>IF(E340="","",VLOOKUP(E340,'Base Datos'!$A$2:$M$150,3,FALSE))</f>
        <v>35</v>
      </c>
      <c r="N340" s="23">
        <f>IF(E340="","",VLOOKUP(E340,'Base Datos'!$A$2:$M$150,4,FALSE))</f>
        <v>103</v>
      </c>
      <c r="O340" s="23">
        <f>IF(E340="","",VLOOKUP(E340,'Base Datos'!$A$2:$M$150,5,FALSE))</f>
        <v>35</v>
      </c>
      <c r="P340" s="23">
        <f>IF(E340="","",VLOOKUP(E340,'Base Datos'!$A$2:$M$150,6,FALSE))</f>
        <v>824</v>
      </c>
      <c r="Q340" s="23">
        <f>IF(E340="","",VLOOKUP(E340,'Base Datos'!$A$2:$M$150,7,FALSE))</f>
        <v>1</v>
      </c>
      <c r="R340" s="40">
        <f>IF(E340="","",VLOOKUP(E340,'Base Datos'!$A$2:$M$150,8,FALSE))</f>
        <v>110</v>
      </c>
      <c r="S340" s="40" t="str">
        <f>IF(E340="","",VLOOKUP(E340,'Base Datos'!$A$2:$M$150,9,FALSE))</f>
        <v>PP</v>
      </c>
      <c r="T340" s="33">
        <f>IF(E340="","",(H340*I340)-(J340+K340))</f>
        <v>485</v>
      </c>
      <c r="U340" s="33">
        <f>IF(E340="","",(H340*R340)/1000)</f>
        <v>55</v>
      </c>
      <c r="V340" s="123">
        <f>IF(G340="",0,(G340*H340)/3600)</f>
        <v>7.916666666666667</v>
      </c>
      <c r="W340" s="45">
        <f>IFERROR(IF(E340="","",(H340/P340)),0)</f>
        <v>0.60679611650485432</v>
      </c>
      <c r="X340" s="94">
        <f>WEEKDAY(A340,1)</f>
        <v>5</v>
      </c>
      <c r="Y340" s="120">
        <f>MONTH(A340)</f>
        <v>7</v>
      </c>
      <c r="Z340" s="125">
        <f>WEEKNUM(A340)-WEEKNUM(DATE(YEAR(A340),MONTH(A340),1))+1</f>
        <v>2</v>
      </c>
      <c r="AA340" s="126">
        <f>IF(V340="",0,V340/8)</f>
        <v>0.98958333333333337</v>
      </c>
      <c r="AB340" s="125">
        <f>IF(E340="02PZ03405",0,1)</f>
        <v>1</v>
      </c>
    </row>
    <row r="341" spans="1:28" x14ac:dyDescent="0.2">
      <c r="A341" s="37">
        <v>44777</v>
      </c>
      <c r="B341" s="31" t="s">
        <v>86</v>
      </c>
      <c r="C341" s="31" t="s">
        <v>91</v>
      </c>
      <c r="D341" s="38">
        <v>1</v>
      </c>
      <c r="E341" s="39" t="s">
        <v>63</v>
      </c>
      <c r="F341" s="33" t="str">
        <f>IF(E341="","",VLOOKUP(E341,'Base Datos'!$A$2:$M$150,2,FALSE))</f>
        <v>Lata Alta Glitter</v>
      </c>
      <c r="G341" s="99">
        <v>45.5</v>
      </c>
      <c r="H341" s="102">
        <v>579</v>
      </c>
      <c r="I341" s="32">
        <v>1</v>
      </c>
      <c r="J341" s="32">
        <v>13</v>
      </c>
      <c r="K341" s="31">
        <v>0</v>
      </c>
      <c r="L341" s="39">
        <v>184975</v>
      </c>
      <c r="M341" s="33">
        <f>IF(E341="","",VLOOKUP(E341,'Base Datos'!$A$2:$M$150,3,FALSE))</f>
        <v>35</v>
      </c>
      <c r="N341" s="23">
        <f>IF(E341="","",VLOOKUP(E341,'Base Datos'!$A$2:$M$150,4,FALSE))</f>
        <v>103</v>
      </c>
      <c r="O341" s="23">
        <f>IF(E341="","",VLOOKUP(E341,'Base Datos'!$A$2:$M$150,5,FALSE))</f>
        <v>35</v>
      </c>
      <c r="P341" s="23">
        <f>IF(E341="","",VLOOKUP(E341,'Base Datos'!$A$2:$M$150,6,FALSE))</f>
        <v>824</v>
      </c>
      <c r="Q341" s="23">
        <f>IF(E341="","",VLOOKUP(E341,'Base Datos'!$A$2:$M$150,7,FALSE))</f>
        <v>1</v>
      </c>
      <c r="R341" s="40">
        <f>IF(E341="","",VLOOKUP(E341,'Base Datos'!$A$2:$M$150,8,FALSE))</f>
        <v>110</v>
      </c>
      <c r="S341" s="40" t="str">
        <f>IF(E341="","",VLOOKUP(E341,'Base Datos'!$A$2:$M$150,9,FALSE))</f>
        <v>PP</v>
      </c>
      <c r="T341" s="33">
        <f>IF(E341="","",(H341*I341)-(J341+K341))</f>
        <v>566</v>
      </c>
      <c r="U341" s="33">
        <f>IF(E341="","",(I341*R341)/1000)</f>
        <v>0.11</v>
      </c>
      <c r="V341" s="123">
        <f>IF(G341="",0,(G341*H341)/3600)</f>
        <v>7.3179166666666671</v>
      </c>
      <c r="W341" s="45">
        <f>IFERROR(IF(E341="","",(H341/P341)),0)</f>
        <v>0.70266990291262132</v>
      </c>
      <c r="X341" s="23">
        <f>WEEKDAY(A341,1)</f>
        <v>5</v>
      </c>
      <c r="Y341" s="120">
        <f>MONTH(A341)</f>
        <v>8</v>
      </c>
      <c r="Z341" s="125">
        <f>WEEKNUM(A341)-WEEKNUM(DATE(YEAR(A341),MONTH(A341),1))+1</f>
        <v>1</v>
      </c>
      <c r="AA341" s="126">
        <f>IF(V341="",0,V341/8)</f>
        <v>0.91473958333333338</v>
      </c>
      <c r="AB341" s="125">
        <f>IF(E341="02PZ03405",0,1)</f>
        <v>1</v>
      </c>
    </row>
    <row r="342" spans="1:28" x14ac:dyDescent="0.2">
      <c r="A342" s="37">
        <v>44776</v>
      </c>
      <c r="B342" s="31" t="s">
        <v>86</v>
      </c>
      <c r="C342" s="31" t="s">
        <v>91</v>
      </c>
      <c r="D342" s="38">
        <v>1</v>
      </c>
      <c r="E342" s="39" t="s">
        <v>63</v>
      </c>
      <c r="F342" s="33" t="str">
        <f>IF(E342="","",VLOOKUP(E342,'Base Datos'!$A$2:$M$150,2,FALSE))</f>
        <v>Lata Alta Glitter</v>
      </c>
      <c r="G342" s="99">
        <v>52.8</v>
      </c>
      <c r="H342" s="102">
        <v>436</v>
      </c>
      <c r="I342" s="32">
        <v>1</v>
      </c>
      <c r="J342" s="32">
        <v>2</v>
      </c>
      <c r="K342" s="31">
        <v>1</v>
      </c>
      <c r="L342" s="39">
        <v>184975</v>
      </c>
      <c r="M342" s="33">
        <f>IF(E342="","",VLOOKUP(E342,'Base Datos'!$A$2:$M$150,3,FALSE))</f>
        <v>35</v>
      </c>
      <c r="N342" s="23">
        <f>IF(E342="","",VLOOKUP(E342,'Base Datos'!$A$2:$M$150,4,FALSE))</f>
        <v>103</v>
      </c>
      <c r="O342" s="23">
        <f>IF(E342="","",VLOOKUP(E342,'Base Datos'!$A$2:$M$150,5,FALSE))</f>
        <v>35</v>
      </c>
      <c r="P342" s="23">
        <f>IF(E342="","",VLOOKUP(E342,'Base Datos'!$A$2:$M$150,6,FALSE))</f>
        <v>824</v>
      </c>
      <c r="Q342" s="23">
        <f>IF(E342="","",VLOOKUP(E342,'Base Datos'!$A$2:$M$150,7,FALSE))</f>
        <v>1</v>
      </c>
      <c r="R342" s="40">
        <f>IF(E342="","",VLOOKUP(E342,'Base Datos'!$A$2:$M$150,8,FALSE))</f>
        <v>110</v>
      </c>
      <c r="S342" s="40" t="str">
        <f>IF(E342="","",VLOOKUP(E342,'Base Datos'!$A$2:$M$150,9,FALSE))</f>
        <v>PP</v>
      </c>
      <c r="T342" s="33">
        <f>IF(E342="","",(H342*I342)-(J342+K342))</f>
        <v>433</v>
      </c>
      <c r="U342" s="33">
        <f>IF(E342="","",(I342*R342)/1000)</f>
        <v>0.11</v>
      </c>
      <c r="V342" s="123">
        <f>IF(G342="",0,(G342*H342)/3600)</f>
        <v>6.3946666666666667</v>
      </c>
      <c r="W342" s="45">
        <f>IFERROR(IF(E342="","",(H342/P342)),0)</f>
        <v>0.529126213592233</v>
      </c>
      <c r="X342" s="23">
        <f>WEEKDAY(A342,1)</f>
        <v>4</v>
      </c>
      <c r="Y342" s="120">
        <f>MONTH(A342)</f>
        <v>8</v>
      </c>
      <c r="Z342" s="125">
        <f>WEEKNUM(A342)-WEEKNUM(DATE(YEAR(A342),MONTH(A342),1))+1</f>
        <v>1</v>
      </c>
      <c r="AA342" s="126">
        <f>IF(V342="",0,V342/8)</f>
        <v>0.79933333333333334</v>
      </c>
      <c r="AB342" s="125">
        <f>IF(E342="02PZ03405",0,1)</f>
        <v>1</v>
      </c>
    </row>
    <row r="343" spans="1:28" x14ac:dyDescent="0.2">
      <c r="A343" s="37">
        <v>44754</v>
      </c>
      <c r="B343" s="119" t="s">
        <v>87</v>
      </c>
      <c r="C343" s="31" t="s">
        <v>92</v>
      </c>
      <c r="D343" s="38">
        <v>1</v>
      </c>
      <c r="E343" s="39" t="s">
        <v>59</v>
      </c>
      <c r="F343" s="33" t="str">
        <f>IF(E343="","",VLOOKUP(E343,'Base Datos'!$A$2:$M$150,2,FALSE))</f>
        <v>Lata Alta 6 Colores</v>
      </c>
      <c r="G343" s="32">
        <v>53</v>
      </c>
      <c r="H343" s="102">
        <v>570</v>
      </c>
      <c r="I343" s="32">
        <v>1</v>
      </c>
      <c r="J343" s="32">
        <v>0</v>
      </c>
      <c r="K343" s="31">
        <v>15</v>
      </c>
      <c r="L343" s="39">
        <v>184706</v>
      </c>
      <c r="M343" s="33">
        <f>IF(E343="","",VLOOKUP(E343,'Base Datos'!$A$2:$M$150,3,FALSE))</f>
        <v>35</v>
      </c>
      <c r="N343" s="23">
        <f>IF(E343="","",VLOOKUP(E343,'Base Datos'!$A$2:$M$150,4,FALSE))</f>
        <v>103</v>
      </c>
      <c r="O343" s="23">
        <f>IF(E343="","",VLOOKUP(E343,'Base Datos'!$A$2:$M$150,5,FALSE))</f>
        <v>35</v>
      </c>
      <c r="P343" s="23">
        <f>IF(E343="","",VLOOKUP(E343,'Base Datos'!$A$2:$M$150,6,FALSE))</f>
        <v>824</v>
      </c>
      <c r="Q343" s="23">
        <f>IF(E343="","",VLOOKUP(E343,'Base Datos'!$A$2:$M$150,7,FALSE))</f>
        <v>1</v>
      </c>
      <c r="R343" s="40">
        <f>IF(E343="","",VLOOKUP(E343,'Base Datos'!$A$2:$M$150,8,FALSE))</f>
        <v>110</v>
      </c>
      <c r="S343" s="40" t="str">
        <f>IF(E343="","",VLOOKUP(E343,'Base Datos'!$A$2:$M$150,9,FALSE))</f>
        <v>PP</v>
      </c>
      <c r="T343" s="33">
        <f>IF(E343="","",(H343*I343)-(J343+K343))</f>
        <v>555</v>
      </c>
      <c r="U343" s="33">
        <f>IF(E343="","",(I343*R343)/1000)</f>
        <v>0.11</v>
      </c>
      <c r="V343" s="123">
        <f>IF(G343="",0,(G343*H343)/3600)</f>
        <v>8.3916666666666675</v>
      </c>
      <c r="W343" s="45">
        <f>IFERROR(IF(E343="","",(H343/P343)),0)</f>
        <v>0.69174757281553401</v>
      </c>
      <c r="X343" s="94">
        <f>WEEKDAY(A343,1)</f>
        <v>3</v>
      </c>
      <c r="Y343" s="120">
        <f>MONTH(A343)</f>
        <v>7</v>
      </c>
      <c r="Z343" s="125">
        <f>WEEKNUM(A343)-WEEKNUM(DATE(YEAR(A343),MONTH(A343),1))+1</f>
        <v>3</v>
      </c>
      <c r="AA343" s="126">
        <f>IF(V343="",0,V343/8)</f>
        <v>1.0489583333333334</v>
      </c>
      <c r="AB343" s="125">
        <f>IF(E343="02PZ03405",0,1)</f>
        <v>1</v>
      </c>
    </row>
    <row r="344" spans="1:28" x14ac:dyDescent="0.2">
      <c r="A344" s="37">
        <v>44753</v>
      </c>
      <c r="B344" s="31" t="s">
        <v>87</v>
      </c>
      <c r="C344" s="31" t="s">
        <v>92</v>
      </c>
      <c r="D344" s="38">
        <v>1</v>
      </c>
      <c r="E344" s="39" t="s">
        <v>59</v>
      </c>
      <c r="F344" s="33" t="str">
        <f>IF(E344="","",VLOOKUP(E344,'Base Datos'!$A$2:$M$150,2,FALSE))</f>
        <v>Lata Alta 6 Colores</v>
      </c>
      <c r="G344" s="99">
        <v>36</v>
      </c>
      <c r="H344" s="102">
        <v>576</v>
      </c>
      <c r="I344" s="32">
        <v>1</v>
      </c>
      <c r="J344" s="32"/>
      <c r="K344" s="31">
        <v>6</v>
      </c>
      <c r="L344" s="39">
        <v>184706</v>
      </c>
      <c r="M344" s="33">
        <f>IF(E344="","",VLOOKUP(E344,'Base Datos'!$A$2:$M$150,3,FALSE))</f>
        <v>35</v>
      </c>
      <c r="N344" s="23">
        <f>IF(E344="","",VLOOKUP(E344,'Base Datos'!$A$2:$M$150,4,FALSE))</f>
        <v>103</v>
      </c>
      <c r="O344" s="23">
        <f>IF(E344="","",VLOOKUP(E344,'Base Datos'!$A$2:$M$150,5,FALSE))</f>
        <v>35</v>
      </c>
      <c r="P344" s="23">
        <f>IF(E344="","",VLOOKUP(E344,'Base Datos'!$A$2:$M$150,6,FALSE))</f>
        <v>824</v>
      </c>
      <c r="Q344" s="23">
        <f>IF(E344="","",VLOOKUP(E344,'Base Datos'!$A$2:$M$150,7,FALSE))</f>
        <v>1</v>
      </c>
      <c r="R344" s="40">
        <f>IF(E344="","",VLOOKUP(E344,'Base Datos'!$A$2:$M$150,8,FALSE))</f>
        <v>110</v>
      </c>
      <c r="S344" s="40" t="str">
        <f>IF(E344="","",VLOOKUP(E344,'Base Datos'!$A$2:$M$150,9,FALSE))</f>
        <v>PP</v>
      </c>
      <c r="T344" s="33">
        <f>IF(E344="","",(H344*I344)-(J344+K344))</f>
        <v>570</v>
      </c>
      <c r="U344" s="33">
        <f>IF(E344="","",(I344*R344)/1000)</f>
        <v>0.11</v>
      </c>
      <c r="V344" s="123">
        <f>IF(G344="",0,(G344*H344)/3600)</f>
        <v>5.76</v>
      </c>
      <c r="W344" s="45">
        <f>IFERROR(IF(E344="","",(H344/P344)),0)</f>
        <v>0.69902912621359226</v>
      </c>
      <c r="X344" s="94">
        <f>WEEKDAY(A344,1)</f>
        <v>2</v>
      </c>
      <c r="Y344" s="120">
        <f>MONTH(A344)</f>
        <v>7</v>
      </c>
      <c r="Z344" s="125">
        <f>WEEKNUM(A344)-WEEKNUM(DATE(YEAR(A344),MONTH(A344),1))+1</f>
        <v>3</v>
      </c>
      <c r="AA344" s="126">
        <f>IF(V344="",0,V344/8)</f>
        <v>0.72</v>
      </c>
      <c r="AB344" s="125">
        <f>IF(E344="02PZ03405",0,1)</f>
        <v>1</v>
      </c>
    </row>
    <row r="345" spans="1:28" x14ac:dyDescent="0.2">
      <c r="A345" s="101">
        <v>44749</v>
      </c>
      <c r="B345" s="31" t="s">
        <v>87</v>
      </c>
      <c r="C345" s="31" t="s">
        <v>92</v>
      </c>
      <c r="D345" s="38">
        <v>1</v>
      </c>
      <c r="E345" s="39" t="s">
        <v>59</v>
      </c>
      <c r="F345" s="33" t="str">
        <f>IF(E345="","",VLOOKUP(E345,'Base Datos'!$A$2:$M$150,2,FALSE))</f>
        <v>Lata Alta 6 Colores</v>
      </c>
      <c r="G345" s="32">
        <v>57</v>
      </c>
      <c r="H345" s="32">
        <v>515</v>
      </c>
      <c r="I345" s="32">
        <v>1</v>
      </c>
      <c r="J345" s="32"/>
      <c r="K345" s="31">
        <v>13</v>
      </c>
      <c r="L345" s="39">
        <v>183471</v>
      </c>
      <c r="M345" s="33">
        <f>IF(E345="","",VLOOKUP(E345,'Base Datos'!$A$2:$M$150,3,FALSE))</f>
        <v>35</v>
      </c>
      <c r="N345" s="23">
        <f>IF(E345="","",VLOOKUP(E345,'Base Datos'!$A$2:$M$150,4,FALSE))</f>
        <v>103</v>
      </c>
      <c r="O345" s="23">
        <f>IF(E345="","",VLOOKUP(E345,'Base Datos'!$A$2:$M$150,5,FALSE))</f>
        <v>35</v>
      </c>
      <c r="P345" s="23">
        <f>IF(E345="","",VLOOKUP(E345,'Base Datos'!$A$2:$M$150,6,FALSE))</f>
        <v>824</v>
      </c>
      <c r="Q345" s="23">
        <f>IF(E345="","",VLOOKUP(E345,'Base Datos'!$A$2:$M$150,7,FALSE))</f>
        <v>1</v>
      </c>
      <c r="R345" s="40">
        <f>IF(E345="","",VLOOKUP(E345,'Base Datos'!$A$2:$M$150,8,FALSE))</f>
        <v>110</v>
      </c>
      <c r="S345" s="40" t="str">
        <f>IF(E345="","",VLOOKUP(E345,'Base Datos'!$A$2:$M$150,9,FALSE))</f>
        <v>PP</v>
      </c>
      <c r="T345" s="33">
        <f>IF(E345="","",(H345*I345)-(J345+K345))</f>
        <v>502</v>
      </c>
      <c r="U345" s="33">
        <f>IF(E345="","",(H345*R345)/1000)</f>
        <v>56.65</v>
      </c>
      <c r="V345" s="123">
        <f>IF(G345="",0,(G345*H345)/3600)</f>
        <v>8.1541666666666668</v>
      </c>
      <c r="W345" s="45">
        <f>IFERROR(IF(E345="","",(H345/P345)),0)</f>
        <v>0.625</v>
      </c>
      <c r="X345" s="94">
        <f>WEEKDAY(A345,1)</f>
        <v>5</v>
      </c>
      <c r="Y345" s="120">
        <f>MONTH(A345)</f>
        <v>7</v>
      </c>
      <c r="Z345" s="125">
        <f>WEEKNUM(A345)-WEEKNUM(DATE(YEAR(A345),MONTH(A345),1))+1</f>
        <v>2</v>
      </c>
      <c r="AA345" s="126">
        <f>IF(V345="",0,V345/8)</f>
        <v>1.0192708333333333</v>
      </c>
      <c r="AB345" s="125">
        <f>IF(E345="02PZ03405",0,1)</f>
        <v>1</v>
      </c>
    </row>
    <row r="346" spans="1:28" x14ac:dyDescent="0.2">
      <c r="A346" s="148">
        <v>44746</v>
      </c>
      <c r="B346" s="96" t="s">
        <v>87</v>
      </c>
      <c r="C346" s="96" t="s">
        <v>92</v>
      </c>
      <c r="D346" s="38">
        <v>1</v>
      </c>
      <c r="E346" s="39" t="s">
        <v>59</v>
      </c>
      <c r="F346" s="95" t="str">
        <f>IF(E346="","",VLOOKUP(E346,'Base Datos'!$A$2:$M$150,2,FALSE))</f>
        <v>Lata Alta 6 Colores</v>
      </c>
      <c r="G346" s="99">
        <v>41</v>
      </c>
      <c r="H346" s="99">
        <v>500</v>
      </c>
      <c r="I346" s="99">
        <v>1</v>
      </c>
      <c r="J346" s="99">
        <v>10</v>
      </c>
      <c r="K346" s="39">
        <v>5</v>
      </c>
      <c r="L346" s="39">
        <v>183471</v>
      </c>
      <c r="M346" s="97">
        <f>IF(E346="","",VLOOKUP(E346,'Base Datos'!$A$2:$M$150,3,FALSE))</f>
        <v>35</v>
      </c>
      <c r="N346" s="40">
        <f>IF(E346="","",VLOOKUP(E346,'Base Datos'!$A$2:$M$150,4,FALSE))</f>
        <v>103</v>
      </c>
      <c r="O346" s="40">
        <f>IF(E346="","",VLOOKUP(E346,'Base Datos'!$A$2:$M$150,5,FALSE))</f>
        <v>35</v>
      </c>
      <c r="P346" s="40">
        <f>IF(E346="","",VLOOKUP(E346,'Base Datos'!$A$2:$M$150,6,FALSE))</f>
        <v>824</v>
      </c>
      <c r="Q346" s="40">
        <f>IF(E346="","",VLOOKUP(E346,'Base Datos'!$A$2:$M$150,7,FALSE))</f>
        <v>1</v>
      </c>
      <c r="R346" s="40">
        <f>IF(E346="","",VLOOKUP(E346,'Base Datos'!$A$2:$M$150,8,FALSE))</f>
        <v>110</v>
      </c>
      <c r="S346" s="40" t="str">
        <f>IF(E346="","",VLOOKUP(E346,'Base Datos'!$A$2:$M$150,9,FALSE))</f>
        <v>PP</v>
      </c>
      <c r="T346" s="97">
        <f>IF(E346="","",(H346*I346)-(J346+K346))</f>
        <v>485</v>
      </c>
      <c r="U346" s="98">
        <f>IF(E346="","",(H346*R346)/1000)</f>
        <v>55</v>
      </c>
      <c r="V346" s="123">
        <f>IF(G346="",0,(G346*H346)/3600)</f>
        <v>5.6944444444444446</v>
      </c>
      <c r="W346" s="45">
        <f>IFERROR(IF(E346="","",(H346/P346)),0)</f>
        <v>0.60679611650485432</v>
      </c>
      <c r="X346" s="94">
        <f>WEEKDAY(A346,1)</f>
        <v>2</v>
      </c>
      <c r="Y346" s="120">
        <f>MONTH(A346)</f>
        <v>7</v>
      </c>
      <c r="Z346" s="125">
        <f>WEEKNUM(A346)-WEEKNUM(DATE(YEAR(A346),MONTH(A346),1))+1</f>
        <v>2</v>
      </c>
      <c r="AA346" s="126">
        <f>IF(V346="",0,V346/8)</f>
        <v>0.71180555555555558</v>
      </c>
      <c r="AB346" s="125">
        <f>IF(E346="02PZ03405",0,1)</f>
        <v>1</v>
      </c>
    </row>
    <row r="347" spans="1:28" x14ac:dyDescent="0.2">
      <c r="A347" s="148">
        <v>44743</v>
      </c>
      <c r="B347" s="96" t="s">
        <v>87</v>
      </c>
      <c r="C347" s="96" t="s">
        <v>92</v>
      </c>
      <c r="D347" s="38">
        <v>1</v>
      </c>
      <c r="E347" s="39" t="s">
        <v>59</v>
      </c>
      <c r="F347" s="95" t="str">
        <f>IF(E347="","",VLOOKUP(E347,'Base Datos'!$A$2:$M$150,2,FALSE))</f>
        <v>Lata Alta 6 Colores</v>
      </c>
      <c r="G347" s="99">
        <v>40.6</v>
      </c>
      <c r="H347" s="99">
        <v>500</v>
      </c>
      <c r="I347" s="99">
        <v>1</v>
      </c>
      <c r="J347" s="99">
        <v>10</v>
      </c>
      <c r="K347" s="39">
        <v>5</v>
      </c>
      <c r="L347" s="39">
        <v>184119</v>
      </c>
      <c r="M347" s="97">
        <f>IF(E347="","",VLOOKUP(E347,'Base Datos'!$A$2:$M$150,3,FALSE))</f>
        <v>35</v>
      </c>
      <c r="N347" s="40">
        <f>IF(E347="","",VLOOKUP(E347,'Base Datos'!$A$2:$M$150,4,FALSE))</f>
        <v>103</v>
      </c>
      <c r="O347" s="40">
        <f>IF(E347="","",VLOOKUP(E347,'Base Datos'!$A$2:$M$150,5,FALSE))</f>
        <v>35</v>
      </c>
      <c r="P347" s="40">
        <f>IF(E347="","",VLOOKUP(E347,'Base Datos'!$A$2:$M$150,6,FALSE))</f>
        <v>824</v>
      </c>
      <c r="Q347" s="40">
        <f>IF(E347="","",VLOOKUP(E347,'Base Datos'!$A$2:$M$150,7,FALSE))</f>
        <v>1</v>
      </c>
      <c r="R347" s="40">
        <f>IF(E347="","",VLOOKUP(E347,'Base Datos'!$A$2:$M$150,8,FALSE))</f>
        <v>110</v>
      </c>
      <c r="S347" s="40" t="str">
        <f>IF(E347="","",VLOOKUP(E347,'Base Datos'!$A$2:$M$150,9,FALSE))</f>
        <v>PP</v>
      </c>
      <c r="T347" s="97">
        <f>IF(E347="","",(H347*I347)-(J347+K347))</f>
        <v>485</v>
      </c>
      <c r="U347" s="98">
        <f>IF(E347="","",(H347*R347)/1000)</f>
        <v>55</v>
      </c>
      <c r="V347" s="123">
        <f>IF(G347="",0,(G347*H347)/3600)</f>
        <v>5.6388888888888893</v>
      </c>
      <c r="W347" s="45">
        <f>IFERROR(IF(E347="","",(H347/P347)),0)</f>
        <v>0.60679611650485432</v>
      </c>
      <c r="X347" s="94">
        <f>WEEKDAY(A347,1)</f>
        <v>6</v>
      </c>
      <c r="Y347" s="120">
        <f>MONTH(A347)</f>
        <v>7</v>
      </c>
      <c r="Z347" s="125">
        <f>WEEKNUM(A347)-WEEKNUM(DATE(YEAR(A347),MONTH(A347),1))+1</f>
        <v>1</v>
      </c>
      <c r="AA347" s="126">
        <f>IF(V347="",0,V347/8)</f>
        <v>0.70486111111111116</v>
      </c>
      <c r="AB347" s="125">
        <f>IF(E347="02PZ03405",0,1)</f>
        <v>1</v>
      </c>
    </row>
    <row r="348" spans="1:28" x14ac:dyDescent="0.2">
      <c r="A348" s="37">
        <v>44754</v>
      </c>
      <c r="B348" s="31" t="s">
        <v>34</v>
      </c>
      <c r="C348" s="31" t="s">
        <v>89</v>
      </c>
      <c r="D348" s="38">
        <v>1</v>
      </c>
      <c r="E348" s="39" t="s">
        <v>59</v>
      </c>
      <c r="F348" s="33" t="str">
        <f>IF(E348="","",VLOOKUP(E348,'Base Datos'!$A$2:$M$150,2,FALSE))</f>
        <v>Lata Alta 6 Colores</v>
      </c>
      <c r="G348" s="32">
        <v>48</v>
      </c>
      <c r="H348" s="102">
        <v>772</v>
      </c>
      <c r="I348" s="32">
        <v>1</v>
      </c>
      <c r="J348" s="32"/>
      <c r="K348" s="31">
        <v>12</v>
      </c>
      <c r="L348" s="39">
        <v>184706</v>
      </c>
      <c r="M348" s="33">
        <f>IF(E348="","",VLOOKUP(E348,'Base Datos'!$A$2:$M$150,3,FALSE))</f>
        <v>35</v>
      </c>
      <c r="N348" s="23">
        <f>IF(E348="","",VLOOKUP(E348,'Base Datos'!$A$2:$M$150,4,FALSE))</f>
        <v>103</v>
      </c>
      <c r="O348" s="23">
        <f>IF(E348="","",VLOOKUP(E348,'Base Datos'!$A$2:$M$150,5,FALSE))</f>
        <v>35</v>
      </c>
      <c r="P348" s="23">
        <f>IF(E348="","",VLOOKUP(E348,'Base Datos'!$A$2:$M$150,6,FALSE))</f>
        <v>824</v>
      </c>
      <c r="Q348" s="23">
        <f>IF(E348="","",VLOOKUP(E348,'Base Datos'!$A$2:$M$150,7,FALSE))</f>
        <v>1</v>
      </c>
      <c r="R348" s="40">
        <f>IF(E348="","",VLOOKUP(E348,'Base Datos'!$A$2:$M$150,8,FALSE))</f>
        <v>110</v>
      </c>
      <c r="S348" s="40" t="str">
        <f>IF(E348="","",VLOOKUP(E348,'Base Datos'!$A$2:$M$150,9,FALSE))</f>
        <v>PP</v>
      </c>
      <c r="T348" s="33">
        <f>IF(E348="","",(H348*I348)-(J348+K348))</f>
        <v>760</v>
      </c>
      <c r="U348" s="33">
        <f>IF(E348="","",(I348*R348)/1000)</f>
        <v>0.11</v>
      </c>
      <c r="V348" s="123">
        <f>IF(G348="",0,(G348*H348)/3600)</f>
        <v>10.293333333333333</v>
      </c>
      <c r="W348" s="45">
        <f>IFERROR(IF(E348="","",(H348/P348)),0)</f>
        <v>0.93689320388349517</v>
      </c>
      <c r="X348" s="94">
        <f>WEEKDAY(A348,1)</f>
        <v>3</v>
      </c>
      <c r="Y348" s="120">
        <f>MONTH(A348)</f>
        <v>7</v>
      </c>
      <c r="Z348" s="125">
        <f>WEEKNUM(A348)-WEEKNUM(DATE(YEAR(A348),MONTH(A348),1))+1</f>
        <v>3</v>
      </c>
      <c r="AA348" s="126">
        <f>IF(V348="",0,V348/8)</f>
        <v>1.2866666666666666</v>
      </c>
      <c r="AB348" s="125">
        <f>IF(E348="02PZ03405",0,1)</f>
        <v>1</v>
      </c>
    </row>
    <row r="349" spans="1:28" x14ac:dyDescent="0.2">
      <c r="A349" s="37">
        <v>44753</v>
      </c>
      <c r="B349" s="31" t="s">
        <v>34</v>
      </c>
      <c r="C349" s="31" t="s">
        <v>89</v>
      </c>
      <c r="D349" s="38">
        <v>1</v>
      </c>
      <c r="E349" s="39" t="s">
        <v>59</v>
      </c>
      <c r="F349" s="33" t="str">
        <f>IF(E349="","",VLOOKUP(E349,'Base Datos'!$A$2:$M$150,2,FALSE))</f>
        <v>Lata Alta 6 Colores</v>
      </c>
      <c r="G349" s="32">
        <v>41.3</v>
      </c>
      <c r="H349" s="102">
        <v>741</v>
      </c>
      <c r="I349" s="32">
        <v>1</v>
      </c>
      <c r="J349" s="32">
        <v>0</v>
      </c>
      <c r="K349" s="31">
        <v>8</v>
      </c>
      <c r="L349" s="39">
        <v>184706</v>
      </c>
      <c r="M349" s="33">
        <f>IF(E349="","",VLOOKUP(E349,'Base Datos'!$A$2:$M$150,3,FALSE))</f>
        <v>35</v>
      </c>
      <c r="N349" s="23">
        <f>IF(E349="","",VLOOKUP(E349,'Base Datos'!$A$2:$M$150,4,FALSE))</f>
        <v>103</v>
      </c>
      <c r="O349" s="23">
        <f>IF(E349="","",VLOOKUP(E349,'Base Datos'!$A$2:$M$150,5,FALSE))</f>
        <v>35</v>
      </c>
      <c r="P349" s="23">
        <f>IF(E349="","",VLOOKUP(E349,'Base Datos'!$A$2:$M$150,6,FALSE))</f>
        <v>824</v>
      </c>
      <c r="Q349" s="23">
        <f>IF(E349="","",VLOOKUP(E349,'Base Datos'!$A$2:$M$150,7,FALSE))</f>
        <v>1</v>
      </c>
      <c r="R349" s="40">
        <f>IF(E349="","",VLOOKUP(E349,'Base Datos'!$A$2:$M$150,8,FALSE))</f>
        <v>110</v>
      </c>
      <c r="S349" s="40" t="str">
        <f>IF(E349="","",VLOOKUP(E349,'Base Datos'!$A$2:$M$150,9,FALSE))</f>
        <v>PP</v>
      </c>
      <c r="T349" s="33">
        <f>IF(E349="","",(H349*I349)-(J349+K349))</f>
        <v>733</v>
      </c>
      <c r="U349" s="33">
        <f>IF(E349="","",(I349*R349)/1000)</f>
        <v>0.11</v>
      </c>
      <c r="V349" s="123">
        <f>IF(G349="",0,(G349*H349)/3600)</f>
        <v>8.5009166666666669</v>
      </c>
      <c r="W349" s="45">
        <f>IFERROR(IF(E349="","",(H349/P349)),0)</f>
        <v>0.89927184466019416</v>
      </c>
      <c r="X349" s="94">
        <f>WEEKDAY(A349,1)</f>
        <v>2</v>
      </c>
      <c r="Y349" s="120">
        <f>MONTH(A349)</f>
        <v>7</v>
      </c>
      <c r="Z349" s="125">
        <f>WEEKNUM(A349)-WEEKNUM(DATE(YEAR(A349),MONTH(A349),1))+1</f>
        <v>3</v>
      </c>
      <c r="AA349" s="126">
        <f>IF(V349="",0,V349/8)</f>
        <v>1.0626145833333334</v>
      </c>
      <c r="AB349" s="125">
        <f>IF(E349="02PZ03405",0,1)</f>
        <v>1</v>
      </c>
    </row>
    <row r="350" spans="1:28" x14ac:dyDescent="0.2">
      <c r="A350" s="101">
        <v>44748</v>
      </c>
      <c r="B350" s="96" t="s">
        <v>34</v>
      </c>
      <c r="C350" s="96" t="s">
        <v>35</v>
      </c>
      <c r="D350" s="38">
        <v>1</v>
      </c>
      <c r="E350" s="39" t="s">
        <v>59</v>
      </c>
      <c r="F350" s="95" t="str">
        <f>IF(E350="","",VLOOKUP(E350,'Base Datos'!$A$2:$M$150,2,FALSE))</f>
        <v>Lata Alta 6 Colores</v>
      </c>
      <c r="G350" s="99">
        <v>41</v>
      </c>
      <c r="H350" s="99">
        <v>520</v>
      </c>
      <c r="I350" s="99">
        <v>1</v>
      </c>
      <c r="J350" s="99">
        <v>0</v>
      </c>
      <c r="K350" s="39">
        <v>15</v>
      </c>
      <c r="L350" s="39">
        <v>183471</v>
      </c>
      <c r="M350" s="97">
        <f>IF(E350="","",VLOOKUP(E350,'Base Datos'!$A$2:$M$150,3,FALSE))</f>
        <v>35</v>
      </c>
      <c r="N350" s="40">
        <f>IF(E350="","",VLOOKUP(E350,'Base Datos'!$A$2:$M$150,4,FALSE))</f>
        <v>103</v>
      </c>
      <c r="O350" s="40">
        <f>IF(E350="","",VLOOKUP(E350,'Base Datos'!$A$2:$M$150,5,FALSE))</f>
        <v>35</v>
      </c>
      <c r="P350" s="40">
        <f>IF(E350="","",VLOOKUP(E350,'Base Datos'!$A$2:$M$150,6,FALSE))</f>
        <v>824</v>
      </c>
      <c r="Q350" s="40">
        <f>IF(E350="","",VLOOKUP(E350,'Base Datos'!$A$2:$M$150,7,FALSE))</f>
        <v>1</v>
      </c>
      <c r="R350" s="40">
        <f>IF(E350="","",VLOOKUP(E350,'Base Datos'!$A$2:$M$150,8,FALSE))</f>
        <v>110</v>
      </c>
      <c r="S350" s="40" t="str">
        <f>IF(E350="","",VLOOKUP(E350,'Base Datos'!$A$2:$M$150,9,FALSE))</f>
        <v>PP</v>
      </c>
      <c r="T350" s="97">
        <f>IF(E350="","",(H350*I350)-(J350+K350))</f>
        <v>505</v>
      </c>
      <c r="U350" s="98">
        <f>IF(E350="","",(H350*R350)/1000)</f>
        <v>57.2</v>
      </c>
      <c r="V350" s="123">
        <f>IF(G350="",0,(G350*H350)/3600)</f>
        <v>5.9222222222222225</v>
      </c>
      <c r="W350" s="45">
        <f>IFERROR(IF(E350="","",(H350/P350)),0)</f>
        <v>0.6310679611650486</v>
      </c>
      <c r="X350" s="94">
        <f>WEEKDAY(A350,1)</f>
        <v>4</v>
      </c>
      <c r="Y350" s="120">
        <f>MONTH(A350)</f>
        <v>7</v>
      </c>
      <c r="Z350" s="125">
        <f>WEEKNUM(A350)-WEEKNUM(DATE(YEAR(A350),MONTH(A350),1))+1</f>
        <v>2</v>
      </c>
      <c r="AA350" s="126">
        <f>IF(V350="",0,V350/8)</f>
        <v>0.74027777777777781</v>
      </c>
      <c r="AB350" s="125">
        <f>IF(E350="02PZ03405",0,1)</f>
        <v>1</v>
      </c>
    </row>
    <row r="351" spans="1:28" x14ac:dyDescent="0.2">
      <c r="A351" s="151">
        <v>44746</v>
      </c>
      <c r="B351" s="96" t="s">
        <v>34</v>
      </c>
      <c r="C351" s="96" t="s">
        <v>35</v>
      </c>
      <c r="D351" s="38">
        <v>1</v>
      </c>
      <c r="E351" s="39" t="s">
        <v>59</v>
      </c>
      <c r="F351" s="95" t="str">
        <f>IF(E351="","",VLOOKUP(E351,'Base Datos'!$A$2:$M$150,2,FALSE))</f>
        <v>Lata Alta 6 Colores</v>
      </c>
      <c r="G351" s="99">
        <v>41</v>
      </c>
      <c r="H351" s="99">
        <v>500</v>
      </c>
      <c r="I351" s="99">
        <v>1</v>
      </c>
      <c r="J351" s="99">
        <v>10</v>
      </c>
      <c r="K351" s="39">
        <v>5</v>
      </c>
      <c r="L351" s="39">
        <v>183471</v>
      </c>
      <c r="M351" s="97">
        <f>IF(E351="","",VLOOKUP(E351,'Base Datos'!$A$2:$M$150,3,FALSE))</f>
        <v>35</v>
      </c>
      <c r="N351" s="40">
        <f>IF(E351="","",VLOOKUP(E351,'Base Datos'!$A$2:$M$150,4,FALSE))</f>
        <v>103</v>
      </c>
      <c r="O351" s="40">
        <f>IF(E351="","",VLOOKUP(E351,'Base Datos'!$A$2:$M$150,5,FALSE))</f>
        <v>35</v>
      </c>
      <c r="P351" s="40">
        <f>IF(E351="","",VLOOKUP(E351,'Base Datos'!$A$2:$M$150,6,FALSE))</f>
        <v>824</v>
      </c>
      <c r="Q351" s="40">
        <f>IF(E351="","",VLOOKUP(E351,'Base Datos'!$A$2:$M$150,7,FALSE))</f>
        <v>1</v>
      </c>
      <c r="R351" s="40">
        <f>IF(E351="","",VLOOKUP(E351,'Base Datos'!$A$2:$M$150,8,FALSE))</f>
        <v>110</v>
      </c>
      <c r="S351" s="40" t="str">
        <f>IF(E351="","",VLOOKUP(E351,'Base Datos'!$A$2:$M$150,9,FALSE))</f>
        <v>PP</v>
      </c>
      <c r="T351" s="97">
        <f>IF(E351="","",(H351*I351)-(J351+K351))</f>
        <v>485</v>
      </c>
      <c r="U351" s="98">
        <f>IF(E351="","",(H351*R351)/1000)</f>
        <v>55</v>
      </c>
      <c r="V351" s="123">
        <f>IF(G351="",0,(G351*H351)/3600)</f>
        <v>5.6944444444444446</v>
      </c>
      <c r="W351" s="45">
        <f>IFERROR(IF(E351="","",(H351/P351)),0)</f>
        <v>0.60679611650485432</v>
      </c>
      <c r="X351" s="94">
        <f>WEEKDAY(A351,1)</f>
        <v>2</v>
      </c>
      <c r="Y351" s="120">
        <f>MONTH(A351)</f>
        <v>7</v>
      </c>
      <c r="Z351" s="125">
        <f>WEEKNUM(A351)-WEEKNUM(DATE(YEAR(A351),MONTH(A351),1))+1</f>
        <v>2</v>
      </c>
      <c r="AA351" s="126">
        <f>IF(V351="",0,V351/8)</f>
        <v>0.71180555555555558</v>
      </c>
      <c r="AB351" s="125">
        <f>IF(E351="02PZ03405",0,1)</f>
        <v>1</v>
      </c>
    </row>
    <row r="352" spans="1:28" x14ac:dyDescent="0.2">
      <c r="A352" s="151">
        <v>44743</v>
      </c>
      <c r="B352" s="96" t="s">
        <v>34</v>
      </c>
      <c r="C352" s="96" t="s">
        <v>35</v>
      </c>
      <c r="D352" s="38">
        <v>1</v>
      </c>
      <c r="E352" s="39" t="s">
        <v>59</v>
      </c>
      <c r="F352" s="95" t="str">
        <f>IF(E352="","",VLOOKUP(E352,'Base Datos'!$A$2:$M$150,2,FALSE))</f>
        <v>Lata Alta 6 Colores</v>
      </c>
      <c r="G352" s="99">
        <v>40.6</v>
      </c>
      <c r="H352" s="99">
        <v>500</v>
      </c>
      <c r="I352" s="99">
        <v>1</v>
      </c>
      <c r="J352" s="99">
        <v>10</v>
      </c>
      <c r="K352" s="39">
        <v>5</v>
      </c>
      <c r="L352" s="39">
        <v>184119</v>
      </c>
      <c r="M352" s="97">
        <f>IF(E352="","",VLOOKUP(E352,'Base Datos'!$A$2:$M$150,3,FALSE))</f>
        <v>35</v>
      </c>
      <c r="N352" s="40">
        <f>IF(E352="","",VLOOKUP(E352,'Base Datos'!$A$2:$M$150,4,FALSE))</f>
        <v>103</v>
      </c>
      <c r="O352" s="40">
        <f>IF(E352="","",VLOOKUP(E352,'Base Datos'!$A$2:$M$150,5,FALSE))</f>
        <v>35</v>
      </c>
      <c r="P352" s="40">
        <f>IF(E352="","",VLOOKUP(E352,'Base Datos'!$A$2:$M$150,6,FALSE))</f>
        <v>824</v>
      </c>
      <c r="Q352" s="40">
        <f>IF(E352="","",VLOOKUP(E352,'Base Datos'!$A$2:$M$150,7,FALSE))</f>
        <v>1</v>
      </c>
      <c r="R352" s="40">
        <f>IF(E352="","",VLOOKUP(E352,'Base Datos'!$A$2:$M$150,8,FALSE))</f>
        <v>110</v>
      </c>
      <c r="S352" s="40" t="str">
        <f>IF(E352="","",VLOOKUP(E352,'Base Datos'!$A$2:$M$150,9,FALSE))</f>
        <v>PP</v>
      </c>
      <c r="T352" s="97">
        <f>IF(E352="","",(H352*I352)-(J352+K352))</f>
        <v>485</v>
      </c>
      <c r="U352" s="98">
        <f>IF(E352="","",(H352*R352)/1000)</f>
        <v>55</v>
      </c>
      <c r="V352" s="123">
        <f>IF(G352="",0,(G352*H352)/3600)</f>
        <v>5.6388888888888893</v>
      </c>
      <c r="W352" s="45">
        <f>IFERROR(IF(E352="","",(H352/P352)),0)</f>
        <v>0.60679611650485432</v>
      </c>
      <c r="X352" s="94">
        <f>WEEKDAY(A352,1)</f>
        <v>6</v>
      </c>
      <c r="Y352" s="120">
        <f>MONTH(A352)</f>
        <v>7</v>
      </c>
      <c r="Z352" s="125">
        <f>WEEKNUM(A352)-WEEKNUM(DATE(YEAR(A352),MONTH(A352),1))+1</f>
        <v>1</v>
      </c>
      <c r="AA352" s="126">
        <f>IF(V352="",0,V352/8)</f>
        <v>0.70486111111111116</v>
      </c>
      <c r="AB352" s="125">
        <f>IF(E352="02PZ03405",0,1)</f>
        <v>1</v>
      </c>
    </row>
    <row r="353" spans="1:28" x14ac:dyDescent="0.2">
      <c r="A353" s="149">
        <v>44754</v>
      </c>
      <c r="B353" s="31" t="s">
        <v>86</v>
      </c>
      <c r="C353" s="31" t="s">
        <v>91</v>
      </c>
      <c r="D353" s="38">
        <v>1</v>
      </c>
      <c r="E353" s="39" t="s">
        <v>59</v>
      </c>
      <c r="F353" s="33" t="str">
        <f>IF(E353="","",VLOOKUP(E353,'Base Datos'!$A$2:$M$150,2,FALSE))</f>
        <v>Lata Alta 6 Colores</v>
      </c>
      <c r="G353" s="32">
        <v>38</v>
      </c>
      <c r="H353" s="102">
        <v>651</v>
      </c>
      <c r="I353" s="32">
        <v>1</v>
      </c>
      <c r="J353" s="32">
        <v>0</v>
      </c>
      <c r="K353" s="31">
        <v>23</v>
      </c>
      <c r="L353" s="39">
        <v>184706</v>
      </c>
      <c r="M353" s="33">
        <f>IF(E353="","",VLOOKUP(E353,'Base Datos'!$A$2:$M$150,3,FALSE))</f>
        <v>35</v>
      </c>
      <c r="N353" s="23">
        <f>IF(E353="","",VLOOKUP(E353,'Base Datos'!$A$2:$M$150,4,FALSE))</f>
        <v>103</v>
      </c>
      <c r="O353" s="23">
        <f>IF(E353="","",VLOOKUP(E353,'Base Datos'!$A$2:$M$150,5,FALSE))</f>
        <v>35</v>
      </c>
      <c r="P353" s="23">
        <f>IF(E353="","",VLOOKUP(E353,'Base Datos'!$A$2:$M$150,6,FALSE))</f>
        <v>824</v>
      </c>
      <c r="Q353" s="23">
        <f>IF(E353="","",VLOOKUP(E353,'Base Datos'!$A$2:$M$150,7,FALSE))</f>
        <v>1</v>
      </c>
      <c r="R353" s="40">
        <f>IF(E353="","",VLOOKUP(E353,'Base Datos'!$A$2:$M$150,8,FALSE))</f>
        <v>110</v>
      </c>
      <c r="S353" s="40" t="str">
        <f>IF(E353="","",VLOOKUP(E353,'Base Datos'!$A$2:$M$150,9,FALSE))</f>
        <v>PP</v>
      </c>
      <c r="T353" s="33">
        <f>IF(E353="","",(H353*I353)-(J353+K353))</f>
        <v>628</v>
      </c>
      <c r="U353" s="33">
        <f>IF(E353="","",(I353*R353)/1000)</f>
        <v>0.11</v>
      </c>
      <c r="V353" s="123">
        <f>IF(G353="",0,(G353*H353)/3600)</f>
        <v>6.871666666666667</v>
      </c>
      <c r="W353" s="45">
        <f>IFERROR(IF(E353="","",(H353/P353)),0)</f>
        <v>0.79004854368932043</v>
      </c>
      <c r="X353" s="94">
        <f>WEEKDAY(A353,1)</f>
        <v>3</v>
      </c>
      <c r="Y353" s="120">
        <f>MONTH(A353)</f>
        <v>7</v>
      </c>
      <c r="Z353" s="125">
        <f>WEEKNUM(A353)-WEEKNUM(DATE(YEAR(A353),MONTH(A353),1))+1</f>
        <v>3</v>
      </c>
      <c r="AA353" s="126">
        <f>IF(V353="",0,V353/8)</f>
        <v>0.85895833333333338</v>
      </c>
      <c r="AB353" s="125">
        <f>IF(E353="02PZ03405",0,1)</f>
        <v>1</v>
      </c>
    </row>
    <row r="354" spans="1:28" x14ac:dyDescent="0.2">
      <c r="A354" s="149">
        <v>44753</v>
      </c>
      <c r="B354" s="31" t="s">
        <v>86</v>
      </c>
      <c r="C354" s="31" t="s">
        <v>91</v>
      </c>
      <c r="D354" s="38">
        <v>1</v>
      </c>
      <c r="E354" s="39" t="s">
        <v>59</v>
      </c>
      <c r="F354" s="33" t="str">
        <f>IF(E354="","",VLOOKUP(E354,'Base Datos'!$A$2:$M$150,2,FALSE))</f>
        <v>Lata Alta 6 Colores</v>
      </c>
      <c r="G354" s="32">
        <v>40.4</v>
      </c>
      <c r="H354" s="102">
        <v>638</v>
      </c>
      <c r="I354" s="32">
        <v>1</v>
      </c>
      <c r="J354" s="32"/>
      <c r="K354" s="31">
        <v>16</v>
      </c>
      <c r="L354" s="39">
        <v>184706</v>
      </c>
      <c r="M354" s="33">
        <f>IF(E354="","",VLOOKUP(E354,'Base Datos'!$A$2:$M$150,3,FALSE))</f>
        <v>35</v>
      </c>
      <c r="N354" s="23">
        <f>IF(E354="","",VLOOKUP(E354,'Base Datos'!$A$2:$M$150,4,FALSE))</f>
        <v>103</v>
      </c>
      <c r="O354" s="23">
        <f>IF(E354="","",VLOOKUP(E354,'Base Datos'!$A$2:$M$150,5,FALSE))</f>
        <v>35</v>
      </c>
      <c r="P354" s="23">
        <f>IF(E354="","",VLOOKUP(E354,'Base Datos'!$A$2:$M$150,6,FALSE))</f>
        <v>824</v>
      </c>
      <c r="Q354" s="23">
        <f>IF(E354="","",VLOOKUP(E354,'Base Datos'!$A$2:$M$150,7,FALSE))</f>
        <v>1</v>
      </c>
      <c r="R354" s="40">
        <f>IF(E354="","",VLOOKUP(E354,'Base Datos'!$A$2:$M$150,8,FALSE))</f>
        <v>110</v>
      </c>
      <c r="S354" s="40" t="str">
        <f>IF(E354="","",VLOOKUP(E354,'Base Datos'!$A$2:$M$150,9,FALSE))</f>
        <v>PP</v>
      </c>
      <c r="T354" s="33">
        <f>IF(E354="","",(H354*I354)-(J354+K354))</f>
        <v>622</v>
      </c>
      <c r="U354" s="33">
        <f>IF(E354="","",(I354*R354)/1000)</f>
        <v>0.11</v>
      </c>
      <c r="V354" s="123">
        <f>IF(G354="",0,(G354*H354)/3600)</f>
        <v>7.1597777777777782</v>
      </c>
      <c r="W354" s="45">
        <f>IFERROR(IF(E354="","",(H354/P354)),0)</f>
        <v>0.77427184466019416</v>
      </c>
      <c r="X354" s="94">
        <f>WEEKDAY(A354,1)</f>
        <v>2</v>
      </c>
      <c r="Y354" s="120">
        <f>MONTH(A354)</f>
        <v>7</v>
      </c>
      <c r="Z354" s="125">
        <f>WEEKNUM(A354)-WEEKNUM(DATE(YEAR(A354),MONTH(A354),1))+1</f>
        <v>3</v>
      </c>
      <c r="AA354" s="126">
        <f>IF(V354="",0,V354/8)</f>
        <v>0.89497222222222228</v>
      </c>
      <c r="AB354" s="125">
        <f>IF(E354="02PZ03405",0,1)</f>
        <v>1</v>
      </c>
    </row>
    <row r="355" spans="1:28" x14ac:dyDescent="0.2">
      <c r="A355" s="150">
        <v>44749</v>
      </c>
      <c r="B355" s="31" t="s">
        <v>86</v>
      </c>
      <c r="C355" s="31" t="s">
        <v>91</v>
      </c>
      <c r="D355" s="38">
        <v>1</v>
      </c>
      <c r="E355" s="39" t="s">
        <v>59</v>
      </c>
      <c r="F355" s="33" t="str">
        <f>IF(E355="","",VLOOKUP(E355,'Base Datos'!$A$2:$M$150,2,FALSE))</f>
        <v>Lata Alta 6 Colores</v>
      </c>
      <c r="G355" s="99">
        <v>57</v>
      </c>
      <c r="H355" s="32">
        <v>402</v>
      </c>
      <c r="I355" s="32">
        <v>1</v>
      </c>
      <c r="J355" s="32">
        <v>33</v>
      </c>
      <c r="K355" s="31"/>
      <c r="L355" s="39">
        <v>183471</v>
      </c>
      <c r="M355" s="33">
        <f>IF(E355="","",VLOOKUP(E355,'Base Datos'!$A$2:$M$150,3,FALSE))</f>
        <v>35</v>
      </c>
      <c r="N355" s="23">
        <f>IF(E355="","",VLOOKUP(E355,'Base Datos'!$A$2:$M$150,4,FALSE))</f>
        <v>103</v>
      </c>
      <c r="O355" s="23">
        <f>IF(E355="","",VLOOKUP(E355,'Base Datos'!$A$2:$M$150,5,FALSE))</f>
        <v>35</v>
      </c>
      <c r="P355" s="23">
        <f>IF(E355="","",VLOOKUP(E355,'Base Datos'!$A$2:$M$150,6,FALSE))</f>
        <v>824</v>
      </c>
      <c r="Q355" s="23">
        <f>IF(E355="","",VLOOKUP(E355,'Base Datos'!$A$2:$M$150,7,FALSE))</f>
        <v>1</v>
      </c>
      <c r="R355" s="40">
        <f>IF(E355="","",VLOOKUP(E355,'Base Datos'!$A$2:$M$150,8,FALSE))</f>
        <v>110</v>
      </c>
      <c r="S355" s="40" t="str">
        <f>IF(E355="","",VLOOKUP(E355,'Base Datos'!$A$2:$M$150,9,FALSE))</f>
        <v>PP</v>
      </c>
      <c r="T355" s="33">
        <f>IF(E355="","",(H355*I355)-(J355+K355))</f>
        <v>369</v>
      </c>
      <c r="U355" s="33">
        <f>IF(E355="","",(H355*R355)/1000)</f>
        <v>44.22</v>
      </c>
      <c r="V355" s="123">
        <f>IF(G355="",0,(G355*H355)/3600)</f>
        <v>6.3650000000000002</v>
      </c>
      <c r="W355" s="45">
        <f>IFERROR(IF(E355="","",(H355/P355)),0)</f>
        <v>0.48786407766990292</v>
      </c>
      <c r="X355" s="94">
        <f>WEEKDAY(A355,1)</f>
        <v>5</v>
      </c>
      <c r="Y355" s="120">
        <f>MONTH(A355)</f>
        <v>7</v>
      </c>
      <c r="Z355" s="125">
        <f>WEEKNUM(A355)-WEEKNUM(DATE(YEAR(A355),MONTH(A355),1))+1</f>
        <v>2</v>
      </c>
      <c r="AA355" s="126">
        <f>IF(V355="",0,V355/8)</f>
        <v>0.79562500000000003</v>
      </c>
      <c r="AB355" s="125">
        <f>IF(E355="02PZ03405",0,1)</f>
        <v>1</v>
      </c>
    </row>
    <row r="356" spans="1:28" x14ac:dyDescent="0.2">
      <c r="A356" s="151">
        <v>44743</v>
      </c>
      <c r="B356" s="96" t="s">
        <v>86</v>
      </c>
      <c r="C356" s="96" t="s">
        <v>90</v>
      </c>
      <c r="D356" s="38">
        <v>1</v>
      </c>
      <c r="E356" s="39" t="s">
        <v>59</v>
      </c>
      <c r="F356" s="95" t="str">
        <f>IF(E356="","",VLOOKUP(E356,'Base Datos'!$A$2:$M$150,2,FALSE))</f>
        <v>Lata Alta 6 Colores</v>
      </c>
      <c r="G356" s="99">
        <v>40.6</v>
      </c>
      <c r="H356" s="99">
        <v>500</v>
      </c>
      <c r="I356" s="99">
        <v>1</v>
      </c>
      <c r="J356" s="99">
        <v>10</v>
      </c>
      <c r="K356" s="39">
        <v>5</v>
      </c>
      <c r="L356" s="39">
        <v>184119</v>
      </c>
      <c r="M356" s="97">
        <f>IF(E356="","",VLOOKUP(E356,'Base Datos'!$A$2:$M$150,3,FALSE))</f>
        <v>35</v>
      </c>
      <c r="N356" s="40">
        <f>IF(E356="","",VLOOKUP(E356,'Base Datos'!$A$2:$M$150,4,FALSE))</f>
        <v>103</v>
      </c>
      <c r="O356" s="40">
        <f>IF(E356="","",VLOOKUP(E356,'Base Datos'!$A$2:$M$150,5,FALSE))</f>
        <v>35</v>
      </c>
      <c r="P356" s="40">
        <f>IF(E356="","",VLOOKUP(E356,'Base Datos'!$A$2:$M$150,6,FALSE))</f>
        <v>824</v>
      </c>
      <c r="Q356" s="40">
        <f>IF(E356="","",VLOOKUP(E356,'Base Datos'!$A$2:$M$150,7,FALSE))</f>
        <v>1</v>
      </c>
      <c r="R356" s="40">
        <f>IF(E356="","",VLOOKUP(E356,'Base Datos'!$A$2:$M$150,8,FALSE))</f>
        <v>110</v>
      </c>
      <c r="S356" s="40" t="str">
        <f>IF(E356="","",VLOOKUP(E356,'Base Datos'!$A$2:$M$150,9,FALSE))</f>
        <v>PP</v>
      </c>
      <c r="T356" s="97">
        <f>IF(E356="","",(H356*I356)-(J356+K356))</f>
        <v>485</v>
      </c>
      <c r="U356" s="98">
        <f>IF(E356="","",(H356*R356)/1000)</f>
        <v>55</v>
      </c>
      <c r="V356" s="123">
        <f>IF(G356="",0,(G356*H356)/3600)</f>
        <v>5.6388888888888893</v>
      </c>
      <c r="W356" s="45">
        <f>IFERROR(IF(E356="","",(H356/P356)),0)</f>
        <v>0.60679611650485432</v>
      </c>
      <c r="X356" s="94">
        <f>WEEKDAY(A356,1)</f>
        <v>6</v>
      </c>
      <c r="Y356" s="120">
        <f>MONTH(A356)</f>
        <v>7</v>
      </c>
      <c r="Z356" s="125">
        <f>WEEKNUM(A356)-WEEKNUM(DATE(YEAR(A356),MONTH(A356),1))+1</f>
        <v>1</v>
      </c>
      <c r="AA356" s="126">
        <f>IF(V356="",0,V356/8)</f>
        <v>0.70486111111111116</v>
      </c>
      <c r="AB356" s="125">
        <f>IF(E356="02PZ03405",0,1)</f>
        <v>1</v>
      </c>
    </row>
    <row r="357" spans="1:28" x14ac:dyDescent="0.2">
      <c r="A357" s="149">
        <v>44774</v>
      </c>
      <c r="B357" s="31" t="s">
        <v>87</v>
      </c>
      <c r="C357" s="31" t="s">
        <v>92</v>
      </c>
      <c r="D357" s="38">
        <v>5</v>
      </c>
      <c r="E357" s="39" t="s">
        <v>139</v>
      </c>
      <c r="F357" s="33" t="str">
        <f>IF(E357="","",VLOOKUP(E357,'Base Datos'!$A$2:$M$150,2,FALSE))</f>
        <v>Jarro Autocebante</v>
      </c>
      <c r="G357" s="99">
        <v>45</v>
      </c>
      <c r="H357" s="102">
        <v>180</v>
      </c>
      <c r="I357" s="32">
        <v>2</v>
      </c>
      <c r="J357" s="32"/>
      <c r="K357" s="31">
        <v>0</v>
      </c>
      <c r="L357" s="39">
        <v>184975</v>
      </c>
      <c r="M357" s="33">
        <f>IF(E357="","",VLOOKUP(E357,'Base Datos'!$A$2:$M$150,3,FALSE))</f>
        <v>17</v>
      </c>
      <c r="N357" s="23">
        <f>IF(E357="","",VLOOKUP(E357,'Base Datos'!$A$2:$M$150,4,FALSE))</f>
        <v>211</v>
      </c>
      <c r="O357" s="23">
        <f>IF(E357="","",VLOOKUP(E357,'Base Datos'!$A$2:$M$150,5,FALSE))</f>
        <v>35</v>
      </c>
      <c r="P357" s="23">
        <f>IF(E357="","",VLOOKUP(E357,'Base Datos'!$A$2:$M$150,6,FALSE))</f>
        <v>0</v>
      </c>
      <c r="Q357" s="23">
        <f>IF(E357="","",VLOOKUP(E357,'Base Datos'!$A$2:$M$150,7,FALSE))</f>
        <v>2</v>
      </c>
      <c r="R357" s="40">
        <f>IF(E357="","",VLOOKUP(E357,'Base Datos'!$A$2:$M$150,8,FALSE))</f>
        <v>0</v>
      </c>
      <c r="S357" s="40" t="str">
        <f>IF(E357="","",VLOOKUP(E357,'Base Datos'!$A$2:$M$150,9,FALSE))</f>
        <v>PP</v>
      </c>
      <c r="T357" s="33">
        <f>IF(E357="","",(H357*I357)-(J357+K357))</f>
        <v>360</v>
      </c>
      <c r="U357" s="33">
        <f>IF(E357="","",(I357*R357)/1000)</f>
        <v>0</v>
      </c>
      <c r="V357" s="123">
        <f>IF(G357="",0,(G357*H357)/3600)</f>
        <v>2.25</v>
      </c>
      <c r="W357" s="45">
        <f>IFERROR(IF(E357="","",(H357/P357)),0)</f>
        <v>0</v>
      </c>
      <c r="X357" s="94">
        <f>WEEKDAY(A357,1)</f>
        <v>2</v>
      </c>
      <c r="Y357" s="120">
        <f>MONTH(A357)</f>
        <v>8</v>
      </c>
      <c r="Z357" s="125">
        <f>WEEKNUM(A357)-WEEKNUM(DATE(YEAR(A357),MONTH(A357),1))+1</f>
        <v>1</v>
      </c>
      <c r="AA357" s="126">
        <f>IF(V357="",0,V357/8)</f>
        <v>0.28125</v>
      </c>
      <c r="AB357" s="125">
        <f>IF(E357="02PZ03405",0,1)</f>
        <v>1</v>
      </c>
    </row>
    <row r="358" spans="1:28" x14ac:dyDescent="0.2">
      <c r="A358" s="149">
        <v>44769</v>
      </c>
      <c r="B358" s="31" t="s">
        <v>86</v>
      </c>
      <c r="C358" s="31" t="s">
        <v>288</v>
      </c>
      <c r="D358" s="38">
        <v>5</v>
      </c>
      <c r="E358" s="39" t="s">
        <v>155</v>
      </c>
      <c r="F358" s="33" t="str">
        <f>IF(E358="","",VLOOKUP(E358,'Base Datos'!$A$2:$M$150,2,FALSE))</f>
        <v>Falta</v>
      </c>
      <c r="G358" s="99"/>
      <c r="H358" s="102"/>
      <c r="I358" s="32"/>
      <c r="J358" s="32"/>
      <c r="K358" s="31"/>
      <c r="L358" s="39"/>
      <c r="M358" s="33">
        <f>IF(E358="","",VLOOKUP(E358,'Base Datos'!$A$2:$M$150,3,FALSE))</f>
        <v>0</v>
      </c>
      <c r="N358" s="23">
        <f>IF(E358="","",VLOOKUP(E358,'Base Datos'!$A$2:$M$150,4,FALSE))</f>
        <v>20</v>
      </c>
      <c r="O358" s="23">
        <f>IF(E358="","",VLOOKUP(E358,'Base Datos'!$A$2:$M$150,5,FALSE))</f>
        <v>0</v>
      </c>
      <c r="P358" s="23">
        <f>IF(E358="","",VLOOKUP(E358,'Base Datos'!$A$2:$M$150,6,FALSE))</f>
        <v>0</v>
      </c>
      <c r="Q358" s="23">
        <f>IF(E358="","",VLOOKUP(E358,'Base Datos'!$A$2:$M$150,7,FALSE))</f>
        <v>0</v>
      </c>
      <c r="R358" s="40">
        <f>IF(E358="","",VLOOKUP(E358,'Base Datos'!$A$2:$M$150,8,FALSE))</f>
        <v>0</v>
      </c>
      <c r="S358" s="40">
        <f>IF(E358="","",VLOOKUP(E358,'Base Datos'!$A$2:$M$150,9,FALSE))</f>
        <v>0</v>
      </c>
      <c r="T358" s="33">
        <f>IF(E358="","",(H358*I358)-(J358+K358))</f>
        <v>0</v>
      </c>
      <c r="U358" s="33">
        <f>IF(E358="","",(I358*R358)/1000)</f>
        <v>0</v>
      </c>
      <c r="V358" s="123">
        <f>IF(G358="",0,(G358*H358)/3600)</f>
        <v>0</v>
      </c>
      <c r="W358" s="45">
        <f>IFERROR(IF(E358="","",(H358/P358)),0)</f>
        <v>0</v>
      </c>
      <c r="X358" s="94">
        <f>WEEKDAY(A358,1)</f>
        <v>4</v>
      </c>
      <c r="Y358" s="120">
        <f>MONTH(A358)</f>
        <v>7</v>
      </c>
      <c r="Z358" s="125">
        <f>WEEKNUM(A358)-WEEKNUM(DATE(YEAR(A358),MONTH(A358),1))+1</f>
        <v>5</v>
      </c>
      <c r="AA358" s="126">
        <f>IF(V358="",0,V358/8)</f>
        <v>0</v>
      </c>
      <c r="AB358" s="125">
        <f>IF(E358="02PZ03405",0,1)</f>
        <v>1</v>
      </c>
    </row>
    <row r="359" spans="1:28" x14ac:dyDescent="0.2">
      <c r="A359" s="149">
        <v>44769</v>
      </c>
      <c r="B359" s="31" t="s">
        <v>86</v>
      </c>
      <c r="C359" s="31" t="s">
        <v>288</v>
      </c>
      <c r="D359" s="38">
        <v>3</v>
      </c>
      <c r="E359" s="39" t="s">
        <v>155</v>
      </c>
      <c r="F359" s="33" t="str">
        <f>IF(E359="","",VLOOKUP(E359,'Base Datos'!$A$2:$M$150,2,FALSE))</f>
        <v>Falta</v>
      </c>
      <c r="G359" s="99"/>
      <c r="H359" s="102"/>
      <c r="I359" s="32"/>
      <c r="J359" s="32"/>
      <c r="K359" s="31"/>
      <c r="L359" s="39"/>
      <c r="M359" s="33">
        <f>IF(E359="","",VLOOKUP(E359,'Base Datos'!$A$2:$M$150,3,FALSE))</f>
        <v>0</v>
      </c>
      <c r="N359" s="23">
        <f>IF(E359="","",VLOOKUP(E359,'Base Datos'!$A$2:$M$150,4,FALSE))</f>
        <v>20</v>
      </c>
      <c r="O359" s="23">
        <f>IF(E359="","",VLOOKUP(E359,'Base Datos'!$A$2:$M$150,5,FALSE))</f>
        <v>0</v>
      </c>
      <c r="P359" s="23">
        <f>IF(E359="","",VLOOKUP(E359,'Base Datos'!$A$2:$M$150,6,FALSE))</f>
        <v>0</v>
      </c>
      <c r="Q359" s="23">
        <f>IF(E359="","",VLOOKUP(E359,'Base Datos'!$A$2:$M$150,7,FALSE))</f>
        <v>0</v>
      </c>
      <c r="R359" s="40">
        <f>IF(E359="","",VLOOKUP(E359,'Base Datos'!$A$2:$M$150,8,FALSE))</f>
        <v>0</v>
      </c>
      <c r="S359" s="40">
        <f>IF(E359="","",VLOOKUP(E359,'Base Datos'!$A$2:$M$150,9,FALSE))</f>
        <v>0</v>
      </c>
      <c r="T359" s="33">
        <f>IF(E359="","",(H359*I359)-(J359+K359))</f>
        <v>0</v>
      </c>
      <c r="U359" s="33">
        <f>IF(E359="","",(I359*R359)/1000)</f>
        <v>0</v>
      </c>
      <c r="V359" s="123">
        <f>IF(G359="",0,(G359*H359)/3600)</f>
        <v>0</v>
      </c>
      <c r="W359" s="45">
        <f>IFERROR(IF(E359="","",(H359/P359)),0)</f>
        <v>0</v>
      </c>
      <c r="X359" s="94">
        <f>WEEKDAY(A359,1)</f>
        <v>4</v>
      </c>
      <c r="Y359" s="120">
        <f>MONTH(A359)</f>
        <v>7</v>
      </c>
      <c r="Z359" s="125">
        <f>WEEKNUM(A359)-WEEKNUM(DATE(YEAR(A359),MONTH(A359),1))+1</f>
        <v>5</v>
      </c>
      <c r="AA359" s="126">
        <f>IF(V359="",0,V359/8)</f>
        <v>0</v>
      </c>
      <c r="AB359" s="125">
        <f>IF(E359="02PZ03405",0,1)</f>
        <v>1</v>
      </c>
    </row>
    <row r="360" spans="1:28" x14ac:dyDescent="0.2">
      <c r="A360" s="149">
        <v>44764</v>
      </c>
      <c r="B360" s="31" t="s">
        <v>34</v>
      </c>
      <c r="C360" s="31" t="s">
        <v>35</v>
      </c>
      <c r="D360" s="38">
        <v>3</v>
      </c>
      <c r="E360" s="39" t="s">
        <v>52</v>
      </c>
      <c r="F360" s="33" t="str">
        <f>IF(E360="","",VLOOKUP(E360,'Base Datos'!$A$2:$M$150,2,FALSE))</f>
        <v>Disco extractor</v>
      </c>
      <c r="G360" s="99">
        <v>32.200000000000003</v>
      </c>
      <c r="H360" s="102">
        <v>713</v>
      </c>
      <c r="I360" s="32">
        <v>8</v>
      </c>
      <c r="J360" s="32"/>
      <c r="K360" s="31"/>
      <c r="L360" s="39">
        <v>184706</v>
      </c>
      <c r="M360" s="33">
        <f>IF(E360="","",VLOOKUP(E360,'Base Datos'!$A$2:$M$150,3,FALSE))</f>
        <v>3.12</v>
      </c>
      <c r="N360" s="23">
        <f>IF(E360="","",VLOOKUP(E360,'Base Datos'!$A$2:$M$150,4,FALSE))</f>
        <v>1152</v>
      </c>
      <c r="O360" s="23">
        <f>IF(E360="","",VLOOKUP(E360,'Base Datos'!$A$2:$M$150,5,FALSE))</f>
        <v>25</v>
      </c>
      <c r="P360" s="23">
        <f>IF(E360="","",VLOOKUP(E360,'Base Datos'!$A$2:$M$150,6,FALSE))</f>
        <v>1152</v>
      </c>
      <c r="Q360" s="23">
        <f>IF(E360="","",VLOOKUP(E360,'Base Datos'!$A$2:$M$150,7,FALSE))</f>
        <v>8</v>
      </c>
      <c r="R360" s="40">
        <f>IF(E360="","",VLOOKUP(E360,'Base Datos'!$A$2:$M$150,8,FALSE))</f>
        <v>3.9</v>
      </c>
      <c r="S360" s="40" t="str">
        <f>IF(E360="","",VLOOKUP(E360,'Base Datos'!$A$2:$M$150,9,FALSE))</f>
        <v>PP</v>
      </c>
      <c r="T360" s="33">
        <f>IF(E360="","",(H360*I360)-(J360+K360))</f>
        <v>5704</v>
      </c>
      <c r="U360" s="33">
        <f>IF(E360="","",(I360*R360)/1000)</f>
        <v>3.1199999999999999E-2</v>
      </c>
      <c r="V360" s="123">
        <f>IF(G360="",0,(G360*H360)/3600)</f>
        <v>6.3773888888888894</v>
      </c>
      <c r="W360" s="45">
        <f>IFERROR(IF(E360="","",(H360/P360)),0)</f>
        <v>0.61892361111111116</v>
      </c>
      <c r="X360" s="94">
        <f>WEEKDAY(A360,1)</f>
        <v>6</v>
      </c>
      <c r="Y360" s="120">
        <f>MONTH(A360)</f>
        <v>7</v>
      </c>
      <c r="Z360" s="125">
        <f>WEEKNUM(A360)-WEEKNUM(DATE(YEAR(A360),MONTH(A360),1))+1</f>
        <v>4</v>
      </c>
      <c r="AA360" s="126">
        <f>IF(V360="",0,V360/8)</f>
        <v>0.79717361111111118</v>
      </c>
      <c r="AB360" s="125">
        <f>IF(E360="02PZ03405",0,1)</f>
        <v>1</v>
      </c>
    </row>
    <row r="361" spans="1:28" x14ac:dyDescent="0.2">
      <c r="A361" s="149">
        <v>44761</v>
      </c>
      <c r="B361" s="31" t="s">
        <v>86</v>
      </c>
      <c r="C361" s="31" t="s">
        <v>91</v>
      </c>
      <c r="D361" s="38">
        <v>3</v>
      </c>
      <c r="E361" s="39" t="s">
        <v>52</v>
      </c>
      <c r="F361" s="33" t="str">
        <f>IF(E361="","",VLOOKUP(E361,'Base Datos'!$A$2:$M$150,2,FALSE))</f>
        <v>Disco extractor</v>
      </c>
      <c r="G361" s="99">
        <v>32</v>
      </c>
      <c r="H361" s="102">
        <v>814</v>
      </c>
      <c r="I361" s="32">
        <v>8</v>
      </c>
      <c r="J361" s="32">
        <v>0</v>
      </c>
      <c r="K361" s="31">
        <v>0</v>
      </c>
      <c r="L361" s="39">
        <v>184706</v>
      </c>
      <c r="M361" s="33">
        <f>IF(E361="","",VLOOKUP(E361,'Base Datos'!$A$2:$M$150,3,FALSE))</f>
        <v>3.12</v>
      </c>
      <c r="N361" s="23">
        <f>IF(E361="","",VLOOKUP(E361,'Base Datos'!$A$2:$M$150,4,FALSE))</f>
        <v>1152</v>
      </c>
      <c r="O361" s="23">
        <f>IF(E361="","",VLOOKUP(E361,'Base Datos'!$A$2:$M$150,5,FALSE))</f>
        <v>25</v>
      </c>
      <c r="P361" s="23">
        <f>IF(E361="","",VLOOKUP(E361,'Base Datos'!$A$2:$M$150,6,FALSE))</f>
        <v>1152</v>
      </c>
      <c r="Q361" s="23">
        <f>IF(E361="","",VLOOKUP(E361,'Base Datos'!$A$2:$M$150,7,FALSE))</f>
        <v>8</v>
      </c>
      <c r="R361" s="40">
        <f>IF(E361="","",VLOOKUP(E361,'Base Datos'!$A$2:$M$150,8,FALSE))</f>
        <v>3.9</v>
      </c>
      <c r="S361" s="40" t="str">
        <f>IF(E361="","",VLOOKUP(E361,'Base Datos'!$A$2:$M$150,9,FALSE))</f>
        <v>PP</v>
      </c>
      <c r="T361" s="33">
        <f>IF(E361="","",(H361*I361)-(J361+K361))</f>
        <v>6512</v>
      </c>
      <c r="U361" s="33">
        <f>IF(E361="","",(I361*R361)/1000)</f>
        <v>3.1199999999999999E-2</v>
      </c>
      <c r="V361" s="123">
        <f>IF(G361="",0,(G361*H361)/3600)</f>
        <v>7.235555555555556</v>
      </c>
      <c r="W361" s="45">
        <f>IFERROR(IF(E361="","",(H361/P361)),0)</f>
        <v>0.70659722222222221</v>
      </c>
      <c r="X361" s="94">
        <f>WEEKDAY(A361,1)</f>
        <v>3</v>
      </c>
      <c r="Y361" s="120">
        <f>MONTH(A361)</f>
        <v>7</v>
      </c>
      <c r="Z361" s="125">
        <f>WEEKNUM(A361)-WEEKNUM(DATE(YEAR(A361),MONTH(A361),1))+1</f>
        <v>4</v>
      </c>
      <c r="AA361" s="126">
        <f>IF(V361="",0,V361/8)</f>
        <v>0.9044444444444445</v>
      </c>
      <c r="AB361" s="125">
        <f>IF(E361="02PZ03405",0,1)</f>
        <v>1</v>
      </c>
    </row>
    <row r="362" spans="1:28" x14ac:dyDescent="0.2">
      <c r="A362" s="149">
        <v>44760</v>
      </c>
      <c r="B362" s="31" t="s">
        <v>34</v>
      </c>
      <c r="C362" s="31" t="s">
        <v>91</v>
      </c>
      <c r="D362" s="38">
        <v>3</v>
      </c>
      <c r="E362" s="39" t="s">
        <v>52</v>
      </c>
      <c r="F362" s="33" t="str">
        <f>IF(E362="","",VLOOKUP(E362,'Base Datos'!$A$2:$M$150,2,FALSE))</f>
        <v>Disco extractor</v>
      </c>
      <c r="G362" s="99">
        <v>27</v>
      </c>
      <c r="H362" s="102">
        <v>914</v>
      </c>
      <c r="I362" s="32">
        <v>8</v>
      </c>
      <c r="J362" s="32">
        <v>8</v>
      </c>
      <c r="K362" s="31">
        <v>0</v>
      </c>
      <c r="L362" s="39">
        <v>184706</v>
      </c>
      <c r="M362" s="33">
        <f>IF(E362="","",VLOOKUP(E362,'Base Datos'!$A$2:$M$150,3,FALSE))</f>
        <v>3.12</v>
      </c>
      <c r="N362" s="23">
        <f>IF(E362="","",VLOOKUP(E362,'Base Datos'!$A$2:$M$150,4,FALSE))</f>
        <v>1152</v>
      </c>
      <c r="O362" s="23">
        <f>IF(E362="","",VLOOKUP(E362,'Base Datos'!$A$2:$M$150,5,FALSE))</f>
        <v>25</v>
      </c>
      <c r="P362" s="23">
        <f>IF(E362="","",VLOOKUP(E362,'Base Datos'!$A$2:$M$150,6,FALSE))</f>
        <v>1152</v>
      </c>
      <c r="Q362" s="23">
        <f>IF(E362="","",VLOOKUP(E362,'Base Datos'!$A$2:$M$150,7,FALSE))</f>
        <v>8</v>
      </c>
      <c r="R362" s="40">
        <f>IF(E362="","",VLOOKUP(E362,'Base Datos'!$A$2:$M$150,8,FALSE))</f>
        <v>3.9</v>
      </c>
      <c r="S362" s="40" t="str">
        <f>IF(E362="","",VLOOKUP(E362,'Base Datos'!$A$2:$M$150,9,FALSE))</f>
        <v>PP</v>
      </c>
      <c r="T362" s="33">
        <f>IF(E362="","",(H362*I362)-(J362+K362))</f>
        <v>7304</v>
      </c>
      <c r="U362" s="33">
        <f>IF(E362="","",(I362*R362)/1000)</f>
        <v>3.1199999999999999E-2</v>
      </c>
      <c r="V362" s="123">
        <f>IF(G362="",0,(G362*H362)/3600)</f>
        <v>6.8550000000000004</v>
      </c>
      <c r="W362" s="45">
        <f>IFERROR(IF(E362="","",(H362/P362)),0)</f>
        <v>0.79340277777777779</v>
      </c>
      <c r="X362" s="94">
        <f>WEEKDAY(A362,1)</f>
        <v>2</v>
      </c>
      <c r="Y362" s="120">
        <f>MONTH(A362)</f>
        <v>7</v>
      </c>
      <c r="Z362" s="125">
        <f>WEEKNUM(A362)-WEEKNUM(DATE(YEAR(A362),MONTH(A362),1))+1</f>
        <v>4</v>
      </c>
      <c r="AA362" s="126">
        <f>IF(V362="",0,V362/8)</f>
        <v>0.85687500000000005</v>
      </c>
      <c r="AB362" s="125">
        <f>IF(E362="02PZ03405",0,1)</f>
        <v>1</v>
      </c>
    </row>
    <row r="363" spans="1:28" x14ac:dyDescent="0.2">
      <c r="A363" s="149">
        <v>44763</v>
      </c>
      <c r="B363" s="31" t="s">
        <v>86</v>
      </c>
      <c r="C363" s="31" t="s">
        <v>90</v>
      </c>
      <c r="D363" s="38">
        <v>3</v>
      </c>
      <c r="E363" s="39" t="s">
        <v>52</v>
      </c>
      <c r="F363" s="33" t="str">
        <f>IF(E363="","",VLOOKUP(E363,'Base Datos'!$A$2:$M$150,2,FALSE))</f>
        <v>Disco extractor</v>
      </c>
      <c r="G363" s="99">
        <v>32.1</v>
      </c>
      <c r="H363" s="102">
        <v>587</v>
      </c>
      <c r="I363" s="32">
        <v>8</v>
      </c>
      <c r="J363" s="32"/>
      <c r="K363" s="31"/>
      <c r="L363" s="39">
        <v>184706</v>
      </c>
      <c r="M363" s="33">
        <f>IF(E363="","",VLOOKUP(E363,'Base Datos'!$A$2:$M$150,3,FALSE))</f>
        <v>3.12</v>
      </c>
      <c r="N363" s="23">
        <f>IF(E363="","",VLOOKUP(E363,'Base Datos'!$A$2:$M$150,4,FALSE))</f>
        <v>1152</v>
      </c>
      <c r="O363" s="23">
        <f>IF(E363="","",VLOOKUP(E363,'Base Datos'!$A$2:$M$150,5,FALSE))</f>
        <v>25</v>
      </c>
      <c r="P363" s="23">
        <f>IF(E363="","",VLOOKUP(E363,'Base Datos'!$A$2:$M$150,6,FALSE))</f>
        <v>1152</v>
      </c>
      <c r="Q363" s="23">
        <f>IF(E363="","",VLOOKUP(E363,'Base Datos'!$A$2:$M$150,7,FALSE))</f>
        <v>8</v>
      </c>
      <c r="R363" s="40">
        <f>IF(E363="","",VLOOKUP(E363,'Base Datos'!$A$2:$M$150,8,FALSE))</f>
        <v>3.9</v>
      </c>
      <c r="S363" s="40" t="str">
        <f>IF(E363="","",VLOOKUP(E363,'Base Datos'!$A$2:$M$150,9,FALSE))</f>
        <v>PP</v>
      </c>
      <c r="T363" s="33">
        <f>IF(E363="","",(H363*I363)-(J363+K363))</f>
        <v>4696</v>
      </c>
      <c r="U363" s="33">
        <f>IF(E363="","",(I363*R363)/1000)</f>
        <v>3.1199999999999999E-2</v>
      </c>
      <c r="V363" s="123">
        <f>IF(G363="",0,(G363*H363)/3600)</f>
        <v>5.2340833333333334</v>
      </c>
      <c r="W363" s="45">
        <f>IFERROR(IF(E363="","",(H363/P363)),0)</f>
        <v>0.50954861111111116</v>
      </c>
      <c r="X363" s="94">
        <f>WEEKDAY(A363,1)</f>
        <v>5</v>
      </c>
      <c r="Y363" s="120">
        <f>MONTH(A363)</f>
        <v>7</v>
      </c>
      <c r="Z363" s="125">
        <f>WEEKNUM(A363)-WEEKNUM(DATE(YEAR(A363),MONTH(A363),1))+1</f>
        <v>4</v>
      </c>
      <c r="AA363" s="126">
        <f>IF(V363="",0,V363/8)</f>
        <v>0.65426041666666668</v>
      </c>
      <c r="AB363" s="125">
        <f>IF(E363="02PZ03405",0,1)</f>
        <v>1</v>
      </c>
    </row>
    <row r="364" spans="1:28" x14ac:dyDescent="0.2">
      <c r="A364" s="149">
        <v>44763</v>
      </c>
      <c r="B364" s="31" t="s">
        <v>34</v>
      </c>
      <c r="C364" s="31" t="s">
        <v>88</v>
      </c>
      <c r="D364" s="38">
        <v>3</v>
      </c>
      <c r="E364" s="39" t="s">
        <v>52</v>
      </c>
      <c r="F364" s="33" t="str">
        <f>IF(E364="","",VLOOKUP(E364,'Base Datos'!$A$2:$M$150,2,FALSE))</f>
        <v>Disco extractor</v>
      </c>
      <c r="G364" s="99">
        <v>32.1</v>
      </c>
      <c r="H364" s="102">
        <v>761</v>
      </c>
      <c r="I364" s="32">
        <v>8</v>
      </c>
      <c r="J364" s="32"/>
      <c r="K364" s="31"/>
      <c r="L364" s="39">
        <v>184706</v>
      </c>
      <c r="M364" s="33">
        <f>IF(E364="","",VLOOKUP(E364,'Base Datos'!$A$2:$M$150,3,FALSE))</f>
        <v>3.12</v>
      </c>
      <c r="N364" s="23">
        <f>IF(E364="","",VLOOKUP(E364,'Base Datos'!$A$2:$M$150,4,FALSE))</f>
        <v>1152</v>
      </c>
      <c r="O364" s="23">
        <f>IF(E364="","",VLOOKUP(E364,'Base Datos'!$A$2:$M$150,5,FALSE))</f>
        <v>25</v>
      </c>
      <c r="P364" s="23">
        <f>IF(E364="","",VLOOKUP(E364,'Base Datos'!$A$2:$M$150,6,FALSE))</f>
        <v>1152</v>
      </c>
      <c r="Q364" s="23">
        <f>IF(E364="","",VLOOKUP(E364,'Base Datos'!$A$2:$M$150,7,FALSE))</f>
        <v>8</v>
      </c>
      <c r="R364" s="40">
        <f>IF(E364="","",VLOOKUP(E364,'Base Datos'!$A$2:$M$150,8,FALSE))</f>
        <v>3.9</v>
      </c>
      <c r="S364" s="40" t="str">
        <f>IF(E364="","",VLOOKUP(E364,'Base Datos'!$A$2:$M$150,9,FALSE))</f>
        <v>PP</v>
      </c>
      <c r="T364" s="33">
        <f>IF(E364="","",(H364*I364)-(J364+K364))</f>
        <v>6088</v>
      </c>
      <c r="U364" s="33">
        <f>IF(E364="","",(I364*R364)/1000)</f>
        <v>3.1199999999999999E-2</v>
      </c>
      <c r="V364" s="123">
        <f>IF(G364="",0,(G364*H364)/3600)</f>
        <v>6.7855833333333342</v>
      </c>
      <c r="W364" s="45">
        <f>IFERROR(IF(E364="","",(H364/P364)),0)</f>
        <v>0.66059027777777779</v>
      </c>
      <c r="X364" s="94">
        <f>WEEKDAY(A364,1)</f>
        <v>5</v>
      </c>
      <c r="Y364" s="120">
        <f>MONTH(A364)</f>
        <v>7</v>
      </c>
      <c r="Z364" s="125">
        <f>WEEKNUM(A364)-WEEKNUM(DATE(YEAR(A364),MONTH(A364),1))+1</f>
        <v>4</v>
      </c>
      <c r="AA364" s="126">
        <f>IF(V364="",0,V364/8)</f>
        <v>0.84819791666666677</v>
      </c>
      <c r="AB364" s="125">
        <f>IF(E364="02PZ03405",0,1)</f>
        <v>1</v>
      </c>
    </row>
    <row r="365" spans="1:28" x14ac:dyDescent="0.2">
      <c r="A365" s="149">
        <v>44762</v>
      </c>
      <c r="B365" s="31" t="s">
        <v>34</v>
      </c>
      <c r="C365" s="31" t="s">
        <v>88</v>
      </c>
      <c r="D365" s="38">
        <v>3</v>
      </c>
      <c r="E365" s="39" t="s">
        <v>52</v>
      </c>
      <c r="F365" s="33" t="str">
        <f>IF(E365="","",VLOOKUP(E365,'Base Datos'!$A$2:$M$150,2,FALSE))</f>
        <v>Disco extractor</v>
      </c>
      <c r="G365" s="99">
        <v>33</v>
      </c>
      <c r="H365" s="102">
        <v>620</v>
      </c>
      <c r="I365" s="32">
        <v>8</v>
      </c>
      <c r="J365" s="32"/>
      <c r="K365" s="31"/>
      <c r="L365" s="39">
        <v>184706</v>
      </c>
      <c r="M365" s="33">
        <f>IF(E365="","",VLOOKUP(E365,'Base Datos'!$A$2:$M$150,3,FALSE))</f>
        <v>3.12</v>
      </c>
      <c r="N365" s="23">
        <f>IF(E365="","",VLOOKUP(E365,'Base Datos'!$A$2:$M$150,4,FALSE))</f>
        <v>1152</v>
      </c>
      <c r="O365" s="23">
        <f>IF(E365="","",VLOOKUP(E365,'Base Datos'!$A$2:$M$150,5,FALSE))</f>
        <v>25</v>
      </c>
      <c r="P365" s="23">
        <f>IF(E365="","",VLOOKUP(E365,'Base Datos'!$A$2:$M$150,6,FALSE))</f>
        <v>1152</v>
      </c>
      <c r="Q365" s="23">
        <f>IF(E365="","",VLOOKUP(E365,'Base Datos'!$A$2:$M$150,7,FALSE))</f>
        <v>8</v>
      </c>
      <c r="R365" s="40">
        <f>IF(E365="","",VLOOKUP(E365,'Base Datos'!$A$2:$M$150,8,FALSE))</f>
        <v>3.9</v>
      </c>
      <c r="S365" s="40" t="str">
        <f>IF(E365="","",VLOOKUP(E365,'Base Datos'!$A$2:$M$150,9,FALSE))</f>
        <v>PP</v>
      </c>
      <c r="T365" s="33">
        <f>IF(E365="","",(H365*I365)-(J365+K365))</f>
        <v>4960</v>
      </c>
      <c r="U365" s="33">
        <f>IF(E365="","",(I365*R365)/1000)</f>
        <v>3.1199999999999999E-2</v>
      </c>
      <c r="V365" s="123">
        <f>IF(G365="",0,(G365*H365)/3600)</f>
        <v>5.6833333333333336</v>
      </c>
      <c r="W365" s="45">
        <f>IFERROR(IF(E365="","",(H365/P365)),0)</f>
        <v>0.53819444444444442</v>
      </c>
      <c r="X365" s="94">
        <f>WEEKDAY(A365,1)</f>
        <v>4</v>
      </c>
      <c r="Y365" s="120">
        <f>MONTH(A365)</f>
        <v>7</v>
      </c>
      <c r="Z365" s="125">
        <f>WEEKNUM(A365)-WEEKNUM(DATE(YEAR(A365),MONTH(A365),1))+1</f>
        <v>4</v>
      </c>
      <c r="AA365" s="126">
        <f>IF(V365="",0,V365/8)</f>
        <v>0.7104166666666667</v>
      </c>
      <c r="AB365" s="125">
        <f>IF(E365="02PZ03405",0,1)</f>
        <v>1</v>
      </c>
    </row>
    <row r="366" spans="1:28" x14ac:dyDescent="0.2">
      <c r="A366" s="149">
        <v>44761</v>
      </c>
      <c r="B366" s="31" t="s">
        <v>34</v>
      </c>
      <c r="C366" s="31" t="s">
        <v>88</v>
      </c>
      <c r="D366" s="38">
        <v>3</v>
      </c>
      <c r="E366" s="39" t="s">
        <v>52</v>
      </c>
      <c r="F366" s="33" t="str">
        <f>IF(E366="","",VLOOKUP(E366,'Base Datos'!$A$2:$M$150,2,FALSE))</f>
        <v>Disco extractor</v>
      </c>
      <c r="G366" s="99">
        <v>32</v>
      </c>
      <c r="H366" s="102">
        <v>805</v>
      </c>
      <c r="I366" s="32">
        <v>8</v>
      </c>
      <c r="J366" s="32"/>
      <c r="K366" s="31"/>
      <c r="L366" s="39">
        <v>184706</v>
      </c>
      <c r="M366" s="33">
        <f>IF(E366="","",VLOOKUP(E366,'Base Datos'!$A$2:$M$150,3,FALSE))</f>
        <v>3.12</v>
      </c>
      <c r="N366" s="23">
        <f>IF(E366="","",VLOOKUP(E366,'Base Datos'!$A$2:$M$150,4,FALSE))</f>
        <v>1152</v>
      </c>
      <c r="O366" s="23">
        <f>IF(E366="","",VLOOKUP(E366,'Base Datos'!$A$2:$M$150,5,FALSE))</f>
        <v>25</v>
      </c>
      <c r="P366" s="23">
        <f>IF(E366="","",VLOOKUP(E366,'Base Datos'!$A$2:$M$150,6,FALSE))</f>
        <v>1152</v>
      </c>
      <c r="Q366" s="23">
        <f>IF(E366="","",VLOOKUP(E366,'Base Datos'!$A$2:$M$150,7,FALSE))</f>
        <v>8</v>
      </c>
      <c r="R366" s="40">
        <f>IF(E366="","",VLOOKUP(E366,'Base Datos'!$A$2:$M$150,8,FALSE))</f>
        <v>3.9</v>
      </c>
      <c r="S366" s="40" t="str">
        <f>IF(E366="","",VLOOKUP(E366,'Base Datos'!$A$2:$M$150,9,FALSE))</f>
        <v>PP</v>
      </c>
      <c r="T366" s="33">
        <f>IF(E366="","",(H366*I366)-(J366+K366))</f>
        <v>6440</v>
      </c>
      <c r="U366" s="33">
        <f>IF(E366="","",(I366*R366)/1000)</f>
        <v>3.1199999999999999E-2</v>
      </c>
      <c r="V366" s="123">
        <f>IF(G366="",0,(G366*H366)/3600)</f>
        <v>7.1555555555555559</v>
      </c>
      <c r="W366" s="45">
        <f>IFERROR(IF(E366="","",(H366/P366)),0)</f>
        <v>0.69878472222222221</v>
      </c>
      <c r="X366" s="94">
        <f>WEEKDAY(A366,1)</f>
        <v>3</v>
      </c>
      <c r="Y366" s="120">
        <f>MONTH(A366)</f>
        <v>7</v>
      </c>
      <c r="Z366" s="125">
        <f>WEEKNUM(A366)-WEEKNUM(DATE(YEAR(A366),MONTH(A366),1))+1</f>
        <v>4</v>
      </c>
      <c r="AA366" s="126">
        <f>IF(V366="",0,V366/8)</f>
        <v>0.89444444444444449</v>
      </c>
      <c r="AB366" s="125">
        <f>IF(E366="02PZ03405",0,1)</f>
        <v>1</v>
      </c>
    </row>
    <row r="367" spans="1:28" x14ac:dyDescent="0.2">
      <c r="A367" s="149">
        <v>44760</v>
      </c>
      <c r="B367" s="31" t="s">
        <v>86</v>
      </c>
      <c r="C367" s="31" t="s">
        <v>88</v>
      </c>
      <c r="D367" s="38">
        <v>3</v>
      </c>
      <c r="E367" s="39" t="s">
        <v>52</v>
      </c>
      <c r="F367" s="33" t="str">
        <f>IF(E367="","",VLOOKUP(E367,'Base Datos'!$A$2:$M$150,2,FALSE))</f>
        <v>Disco extractor</v>
      </c>
      <c r="G367" s="99">
        <v>44</v>
      </c>
      <c r="H367" s="102">
        <v>153</v>
      </c>
      <c r="I367" s="32">
        <v>8</v>
      </c>
      <c r="J367" s="32"/>
      <c r="K367" s="31">
        <v>100</v>
      </c>
      <c r="L367" s="39">
        <v>184706</v>
      </c>
      <c r="M367" s="33">
        <f>IF(E367="","",VLOOKUP(E367,'Base Datos'!$A$2:$M$150,3,FALSE))</f>
        <v>3.12</v>
      </c>
      <c r="N367" s="23">
        <f>IF(E367="","",VLOOKUP(E367,'Base Datos'!$A$2:$M$150,4,FALSE))</f>
        <v>1152</v>
      </c>
      <c r="O367" s="23">
        <f>IF(E367="","",VLOOKUP(E367,'Base Datos'!$A$2:$M$150,5,FALSE))</f>
        <v>25</v>
      </c>
      <c r="P367" s="23">
        <f>IF(E367="","",VLOOKUP(E367,'Base Datos'!$A$2:$M$150,6,FALSE))</f>
        <v>1152</v>
      </c>
      <c r="Q367" s="23">
        <f>IF(E367="","",VLOOKUP(E367,'Base Datos'!$A$2:$M$150,7,FALSE))</f>
        <v>8</v>
      </c>
      <c r="R367" s="40">
        <f>IF(E367="","",VLOOKUP(E367,'Base Datos'!$A$2:$M$150,8,FALSE))</f>
        <v>3.9</v>
      </c>
      <c r="S367" s="40" t="str">
        <f>IF(E367="","",VLOOKUP(E367,'Base Datos'!$A$2:$M$150,9,FALSE))</f>
        <v>PP</v>
      </c>
      <c r="T367" s="33">
        <f>IF(E367="","",(H367*I367)-(J367+K367))</f>
        <v>1124</v>
      </c>
      <c r="U367" s="33">
        <f>IF(E367="","",(I367*R367)/1000)</f>
        <v>3.1199999999999999E-2</v>
      </c>
      <c r="V367" s="123">
        <f>IF(G367="",0,(G367*H367)/3600)</f>
        <v>1.87</v>
      </c>
      <c r="W367" s="45">
        <f>IFERROR(IF(E367="","",(H367/P367)),0)</f>
        <v>0.1328125</v>
      </c>
      <c r="X367" s="94">
        <f>WEEKDAY(A367,1)</f>
        <v>2</v>
      </c>
      <c r="Y367" s="120">
        <f>MONTH(A367)</f>
        <v>7</v>
      </c>
      <c r="Z367" s="125">
        <f>WEEKNUM(A367)-WEEKNUM(DATE(YEAR(A367),MONTH(A367),1))+1</f>
        <v>4</v>
      </c>
      <c r="AA367" s="126">
        <f>IF(V367="",0,V367/8)</f>
        <v>0.23375000000000001</v>
      </c>
      <c r="AB367" s="125">
        <f>IF(E367="02PZ03405",0,1)</f>
        <v>1</v>
      </c>
    </row>
    <row r="368" spans="1:28" x14ac:dyDescent="0.2">
      <c r="A368" s="149">
        <v>44763</v>
      </c>
      <c r="B368" s="31" t="s">
        <v>87</v>
      </c>
      <c r="C368" s="31" t="s">
        <v>93</v>
      </c>
      <c r="D368" s="38">
        <v>3</v>
      </c>
      <c r="E368" s="39" t="s">
        <v>52</v>
      </c>
      <c r="F368" s="33" t="str">
        <f>IF(E368="","",VLOOKUP(E368,'Base Datos'!$A$2:$M$150,2,FALSE))</f>
        <v>Disco extractor</v>
      </c>
      <c r="G368" s="99">
        <v>32</v>
      </c>
      <c r="H368" s="102">
        <v>810</v>
      </c>
      <c r="I368" s="32">
        <v>8</v>
      </c>
      <c r="J368" s="32">
        <v>0</v>
      </c>
      <c r="K368" s="31">
        <v>0</v>
      </c>
      <c r="L368" s="39">
        <v>184706</v>
      </c>
      <c r="M368" s="33">
        <f>IF(E368="","",VLOOKUP(E368,'Base Datos'!$A$2:$M$150,3,FALSE))</f>
        <v>3.12</v>
      </c>
      <c r="N368" s="23">
        <f>IF(E368="","",VLOOKUP(E368,'Base Datos'!$A$2:$M$150,4,FALSE))</f>
        <v>1152</v>
      </c>
      <c r="O368" s="23">
        <f>IF(E368="","",VLOOKUP(E368,'Base Datos'!$A$2:$M$150,5,FALSE))</f>
        <v>25</v>
      </c>
      <c r="P368" s="23">
        <f>IF(E368="","",VLOOKUP(E368,'Base Datos'!$A$2:$M$150,6,FALSE))</f>
        <v>1152</v>
      </c>
      <c r="Q368" s="23">
        <f>IF(E368="","",VLOOKUP(E368,'Base Datos'!$A$2:$M$150,7,FALSE))</f>
        <v>8</v>
      </c>
      <c r="R368" s="40">
        <f>IF(E368="","",VLOOKUP(E368,'Base Datos'!$A$2:$M$150,8,FALSE))</f>
        <v>3.9</v>
      </c>
      <c r="S368" s="40" t="str">
        <f>IF(E368="","",VLOOKUP(E368,'Base Datos'!$A$2:$M$150,9,FALSE))</f>
        <v>PP</v>
      </c>
      <c r="T368" s="33">
        <f>IF(E368="","",(H368*I368)-(J368+K368))</f>
        <v>6480</v>
      </c>
      <c r="U368" s="33">
        <f>IF(E368="","",(I368*R368)/1000)</f>
        <v>3.1199999999999999E-2</v>
      </c>
      <c r="V368" s="123">
        <f>IF(G368="",0,(G368*H368)/3600)</f>
        <v>7.2</v>
      </c>
      <c r="W368" s="45">
        <f>IFERROR(IF(E368="","",(H368/P368)),0)</f>
        <v>0.703125</v>
      </c>
      <c r="X368" s="94">
        <f>WEEKDAY(A368,1)</f>
        <v>5</v>
      </c>
      <c r="Y368" s="120">
        <f>MONTH(A368)</f>
        <v>7</v>
      </c>
      <c r="Z368" s="125">
        <f>WEEKNUM(A368)-WEEKNUM(DATE(YEAR(A368),MONTH(A368),1))+1</f>
        <v>4</v>
      </c>
      <c r="AA368" s="126">
        <f>IF(V368="",0,V368/8)</f>
        <v>0.9</v>
      </c>
      <c r="AB368" s="125">
        <f>IF(E368="02PZ03405",0,1)</f>
        <v>1</v>
      </c>
    </row>
    <row r="369" spans="1:28" x14ac:dyDescent="0.2">
      <c r="A369" s="149">
        <v>44762</v>
      </c>
      <c r="B369" s="31" t="s">
        <v>87</v>
      </c>
      <c r="C369" s="31" t="s">
        <v>93</v>
      </c>
      <c r="D369" s="38">
        <v>3</v>
      </c>
      <c r="E369" s="39" t="s">
        <v>52</v>
      </c>
      <c r="F369" s="33" t="str">
        <f>IF(E369="","",VLOOKUP(E369,'Base Datos'!$A$2:$M$150,2,FALSE))</f>
        <v>Disco extractor</v>
      </c>
      <c r="G369" s="99">
        <v>30</v>
      </c>
      <c r="H369" s="102">
        <v>839</v>
      </c>
      <c r="I369" s="32">
        <v>8</v>
      </c>
      <c r="J369" s="32"/>
      <c r="K369" s="31"/>
      <c r="L369" s="39">
        <v>184706</v>
      </c>
      <c r="M369" s="33">
        <f>IF(E369="","",VLOOKUP(E369,'Base Datos'!$A$2:$M$150,3,FALSE))</f>
        <v>3.12</v>
      </c>
      <c r="N369" s="23">
        <f>IF(E369="","",VLOOKUP(E369,'Base Datos'!$A$2:$M$150,4,FALSE))</f>
        <v>1152</v>
      </c>
      <c r="O369" s="23">
        <f>IF(E369="","",VLOOKUP(E369,'Base Datos'!$A$2:$M$150,5,FALSE))</f>
        <v>25</v>
      </c>
      <c r="P369" s="23">
        <f>IF(E369="","",VLOOKUP(E369,'Base Datos'!$A$2:$M$150,6,FALSE))</f>
        <v>1152</v>
      </c>
      <c r="Q369" s="23">
        <f>IF(E369="","",VLOOKUP(E369,'Base Datos'!$A$2:$M$150,7,FALSE))</f>
        <v>8</v>
      </c>
      <c r="R369" s="40">
        <f>IF(E369="","",VLOOKUP(E369,'Base Datos'!$A$2:$M$150,8,FALSE))</f>
        <v>3.9</v>
      </c>
      <c r="S369" s="40" t="str">
        <f>IF(E369="","",VLOOKUP(E369,'Base Datos'!$A$2:$M$150,9,FALSE))</f>
        <v>PP</v>
      </c>
      <c r="T369" s="33">
        <f>IF(E369="","",(H369*I369)-(J369+K369))</f>
        <v>6712</v>
      </c>
      <c r="U369" s="33">
        <f>IF(E369="","",(I369*R369)/1000)</f>
        <v>3.1199999999999999E-2</v>
      </c>
      <c r="V369" s="123">
        <f>IF(G369="",0,(G369*H369)/3600)</f>
        <v>6.9916666666666663</v>
      </c>
      <c r="W369" s="45">
        <f>IFERROR(IF(E369="","",(H369/P369)),0)</f>
        <v>0.72829861111111116</v>
      </c>
      <c r="X369" s="94">
        <f>WEEKDAY(A369,1)</f>
        <v>4</v>
      </c>
      <c r="Y369" s="120">
        <f>MONTH(A369)</f>
        <v>7</v>
      </c>
      <c r="Z369" s="125">
        <f>WEEKNUM(A369)-WEEKNUM(DATE(YEAR(A369),MONTH(A369),1))+1</f>
        <v>4</v>
      </c>
      <c r="AA369" s="126">
        <f>IF(V369="",0,V369/8)</f>
        <v>0.87395833333333328</v>
      </c>
      <c r="AB369" s="125">
        <f>IF(E369="02PZ03405",0,1)</f>
        <v>1</v>
      </c>
    </row>
    <row r="370" spans="1:28" x14ac:dyDescent="0.2">
      <c r="A370" s="149">
        <v>44760</v>
      </c>
      <c r="B370" s="31" t="s">
        <v>87</v>
      </c>
      <c r="C370" s="31" t="s">
        <v>93</v>
      </c>
      <c r="D370" s="38">
        <v>3</v>
      </c>
      <c r="E370" s="39" t="s">
        <v>52</v>
      </c>
      <c r="F370" s="33" t="str">
        <f>IF(E370="","",VLOOKUP(E370,'Base Datos'!$A$2:$M$150,2,FALSE))</f>
        <v>Disco extractor</v>
      </c>
      <c r="G370" s="99">
        <v>32</v>
      </c>
      <c r="H370" s="102">
        <v>800</v>
      </c>
      <c r="I370" s="32">
        <v>8</v>
      </c>
      <c r="J370" s="32">
        <v>0</v>
      </c>
      <c r="K370" s="31">
        <v>0</v>
      </c>
      <c r="L370" s="39">
        <v>184706</v>
      </c>
      <c r="M370" s="33">
        <f>IF(E370="","",VLOOKUP(E370,'Base Datos'!$A$2:$M$150,3,FALSE))</f>
        <v>3.12</v>
      </c>
      <c r="N370" s="23">
        <f>IF(E370="","",VLOOKUP(E370,'Base Datos'!$A$2:$M$150,4,FALSE))</f>
        <v>1152</v>
      </c>
      <c r="O370" s="23">
        <f>IF(E370="","",VLOOKUP(E370,'Base Datos'!$A$2:$M$150,5,FALSE))</f>
        <v>25</v>
      </c>
      <c r="P370" s="23">
        <f>IF(E370="","",VLOOKUP(E370,'Base Datos'!$A$2:$M$150,6,FALSE))</f>
        <v>1152</v>
      </c>
      <c r="Q370" s="23">
        <f>IF(E370="","",VLOOKUP(E370,'Base Datos'!$A$2:$M$150,7,FALSE))</f>
        <v>8</v>
      </c>
      <c r="R370" s="40">
        <f>IF(E370="","",VLOOKUP(E370,'Base Datos'!$A$2:$M$150,8,FALSE))</f>
        <v>3.9</v>
      </c>
      <c r="S370" s="40" t="str">
        <f>IF(E370="","",VLOOKUP(E370,'Base Datos'!$A$2:$M$150,9,FALSE))</f>
        <v>PP</v>
      </c>
      <c r="T370" s="33">
        <f>IF(E370="","",(H370*I370)-(J370+K370))</f>
        <v>6400</v>
      </c>
      <c r="U370" s="33">
        <f>IF(E370="","",(I370*R370)/1000)</f>
        <v>3.1199999999999999E-2</v>
      </c>
      <c r="V370" s="123">
        <f>IF(G370="",0,(G370*H370)/3600)</f>
        <v>7.1111111111111107</v>
      </c>
      <c r="W370" s="45">
        <f>IFERROR(IF(E370="","",(H370/P370)),0)</f>
        <v>0.69444444444444442</v>
      </c>
      <c r="X370" s="94">
        <f>WEEKDAY(A370,1)</f>
        <v>2</v>
      </c>
      <c r="Y370" s="120">
        <f>MONTH(A370)</f>
        <v>7</v>
      </c>
      <c r="Z370" s="125">
        <f>WEEKNUM(A370)-WEEKNUM(DATE(YEAR(A370),MONTH(A370),1))+1</f>
        <v>4</v>
      </c>
      <c r="AA370" s="126">
        <f>IF(V370="",0,V370/8)</f>
        <v>0.88888888888888884</v>
      </c>
      <c r="AB370" s="125">
        <f>IF(E370="02PZ03405",0,1)</f>
        <v>1</v>
      </c>
    </row>
    <row r="371" spans="1:28" x14ac:dyDescent="0.2">
      <c r="A371" s="149">
        <v>44757</v>
      </c>
      <c r="B371" s="119" t="s">
        <v>87</v>
      </c>
      <c r="C371" s="31" t="s">
        <v>93</v>
      </c>
      <c r="D371" s="38">
        <v>3</v>
      </c>
      <c r="E371" s="39" t="s">
        <v>52</v>
      </c>
      <c r="F371" s="33" t="str">
        <f>IF(E371="","",VLOOKUP(E371,'Base Datos'!$A$2:$M$150,2,FALSE))</f>
        <v>Disco extractor</v>
      </c>
      <c r="G371" s="99">
        <v>0</v>
      </c>
      <c r="H371" s="102">
        <v>120</v>
      </c>
      <c r="I371" s="32">
        <v>1</v>
      </c>
      <c r="J371" s="32">
        <v>0</v>
      </c>
      <c r="K371" s="31">
        <v>5</v>
      </c>
      <c r="L371" s="39">
        <v>184706</v>
      </c>
      <c r="M371" s="33">
        <f>IF(E371="","",VLOOKUP(E371,'Base Datos'!$A$2:$M$150,3,FALSE))</f>
        <v>3.12</v>
      </c>
      <c r="N371" s="23">
        <f>IF(E371="","",VLOOKUP(E371,'Base Datos'!$A$2:$M$150,4,FALSE))</f>
        <v>1152</v>
      </c>
      <c r="O371" s="23">
        <f>IF(E371="","",VLOOKUP(E371,'Base Datos'!$A$2:$M$150,5,FALSE))</f>
        <v>25</v>
      </c>
      <c r="P371" s="23">
        <f>IF(E371="","",VLOOKUP(E371,'Base Datos'!$A$2:$M$150,6,FALSE))</f>
        <v>1152</v>
      </c>
      <c r="Q371" s="23">
        <f>IF(E371="","",VLOOKUP(E371,'Base Datos'!$A$2:$M$150,7,FALSE))</f>
        <v>8</v>
      </c>
      <c r="R371" s="40">
        <f>IF(E371="","",VLOOKUP(E371,'Base Datos'!$A$2:$M$150,8,FALSE))</f>
        <v>3.9</v>
      </c>
      <c r="S371" s="40" t="str">
        <f>IF(E371="","",VLOOKUP(E371,'Base Datos'!$A$2:$M$150,9,FALSE))</f>
        <v>PP</v>
      </c>
      <c r="T371" s="33">
        <f>IF(E371="","",(H371*I371)-(J371+K371))</f>
        <v>115</v>
      </c>
      <c r="U371" s="33">
        <f>IF(E371="","",(I371*R371)/1000)</f>
        <v>3.8999999999999998E-3</v>
      </c>
      <c r="V371" s="123">
        <f>IF(G371="",0,(G371*H371)/3600)</f>
        <v>0</v>
      </c>
      <c r="W371" s="45">
        <f>IFERROR(IF(E371="","",(H371/P371)),0)</f>
        <v>0.10416666666666667</v>
      </c>
      <c r="X371" s="94">
        <f>WEEKDAY(A371,1)</f>
        <v>6</v>
      </c>
      <c r="Y371" s="120">
        <f>MONTH(A371)</f>
        <v>7</v>
      </c>
      <c r="Z371" s="125">
        <f>WEEKNUM(A371)-WEEKNUM(DATE(YEAR(A371),MONTH(A371),1))+1</f>
        <v>3</v>
      </c>
      <c r="AA371" s="126">
        <f>IF(V371="",0,V371/8)</f>
        <v>0</v>
      </c>
      <c r="AB371" s="125">
        <f>IF(E371="02PZ03405",0,1)</f>
        <v>1</v>
      </c>
    </row>
    <row r="372" spans="1:28" x14ac:dyDescent="0.2">
      <c r="A372" s="149">
        <v>44775</v>
      </c>
      <c r="B372" s="31" t="s">
        <v>34</v>
      </c>
      <c r="C372" s="31" t="s">
        <v>89</v>
      </c>
      <c r="D372" s="38">
        <v>1</v>
      </c>
      <c r="E372" s="39" t="s">
        <v>192</v>
      </c>
      <c r="F372" s="33" t="str">
        <f>IF(E372="","",VLOOKUP(E372,'Base Datos'!$A$2:$M$150,2,FALSE))</f>
        <v>Cambio de Molde</v>
      </c>
      <c r="G372" s="99"/>
      <c r="H372" s="102"/>
      <c r="I372" s="32"/>
      <c r="J372" s="32"/>
      <c r="K372" s="31"/>
      <c r="L372" s="39"/>
      <c r="M372" s="33">
        <f>IF(E372="","",VLOOKUP(E372,'Base Datos'!$A$2:$M$150,3,FALSE))</f>
        <v>0</v>
      </c>
      <c r="N372" s="23">
        <f>IF(E372="","",VLOOKUP(E372,'Base Datos'!$A$2:$M$150,4,FALSE))</f>
        <v>4</v>
      </c>
      <c r="O372" s="23">
        <f>IF(E372="","",VLOOKUP(E372,'Base Datos'!$A$2:$M$150,5,FALSE))</f>
        <v>0</v>
      </c>
      <c r="P372" s="23">
        <f>IF(E372="","",VLOOKUP(E372,'Base Datos'!$A$2:$M$150,6,FALSE))</f>
        <v>0</v>
      </c>
      <c r="Q372" s="23">
        <f>IF(E372="","",VLOOKUP(E372,'Base Datos'!$A$2:$M$150,7,FALSE))</f>
        <v>0</v>
      </c>
      <c r="R372" s="40">
        <f>IF(E372="","",VLOOKUP(E372,'Base Datos'!$A$2:$M$150,8,FALSE))</f>
        <v>0</v>
      </c>
      <c r="S372" s="40">
        <f>IF(E372="","",VLOOKUP(E372,'Base Datos'!$A$2:$M$150,9,FALSE))</f>
        <v>0</v>
      </c>
      <c r="T372" s="33">
        <f>IF(E372="","",(H372*I372)-(J372+K372))</f>
        <v>0</v>
      </c>
      <c r="U372" s="33">
        <f>IF(E372="","",(I372*R372)/1000)</f>
        <v>0</v>
      </c>
      <c r="V372" s="123">
        <f>IF(G372="",0,(G372*H372)/3600)</f>
        <v>0</v>
      </c>
      <c r="W372" s="45">
        <f>IFERROR(IF(E372="","",(H372/P372)),0)</f>
        <v>0</v>
      </c>
      <c r="X372" s="94">
        <f>WEEKDAY(A372,1)</f>
        <v>3</v>
      </c>
      <c r="Y372" s="120">
        <f>MONTH(A372)</f>
        <v>8</v>
      </c>
      <c r="Z372" s="125">
        <f>WEEKNUM(A372)-WEEKNUM(DATE(YEAR(A372),MONTH(A372),1))+1</f>
        <v>1</v>
      </c>
      <c r="AA372" s="126">
        <f>IF(V372="",0,V372/8)</f>
        <v>0</v>
      </c>
      <c r="AB372" s="125">
        <f>IF(E372="02PZ03405",0,1)</f>
        <v>1</v>
      </c>
    </row>
    <row r="373" spans="1:28" x14ac:dyDescent="0.2">
      <c r="A373" s="149">
        <v>44774</v>
      </c>
      <c r="B373" s="31" t="s">
        <v>34</v>
      </c>
      <c r="C373" s="31" t="s">
        <v>89</v>
      </c>
      <c r="D373" s="38">
        <v>5</v>
      </c>
      <c r="E373" s="39" t="s">
        <v>192</v>
      </c>
      <c r="F373" s="33" t="str">
        <f>IF(E373="","",VLOOKUP(E373,'Base Datos'!$A$2:$M$150,2,FALSE))</f>
        <v>Cambio de Molde</v>
      </c>
      <c r="G373" s="99"/>
      <c r="H373" s="102"/>
      <c r="I373" s="32"/>
      <c r="J373" s="32"/>
      <c r="K373" s="31"/>
      <c r="L373" s="39"/>
      <c r="M373" s="33">
        <f>IF(E373="","",VLOOKUP(E373,'Base Datos'!$A$2:$M$150,3,FALSE))</f>
        <v>0</v>
      </c>
      <c r="N373" s="23">
        <f>IF(E373="","",VLOOKUP(E373,'Base Datos'!$A$2:$M$150,4,FALSE))</f>
        <v>4</v>
      </c>
      <c r="O373" s="23">
        <f>IF(E373="","",VLOOKUP(E373,'Base Datos'!$A$2:$M$150,5,FALSE))</f>
        <v>0</v>
      </c>
      <c r="P373" s="23">
        <f>IF(E373="","",VLOOKUP(E373,'Base Datos'!$A$2:$M$150,6,FALSE))</f>
        <v>0</v>
      </c>
      <c r="Q373" s="23">
        <f>IF(E373="","",VLOOKUP(E373,'Base Datos'!$A$2:$M$150,7,FALSE))</f>
        <v>0</v>
      </c>
      <c r="R373" s="40">
        <f>IF(E373="","",VLOOKUP(E373,'Base Datos'!$A$2:$M$150,8,FALSE))</f>
        <v>0</v>
      </c>
      <c r="S373" s="40">
        <f>IF(E373="","",VLOOKUP(E373,'Base Datos'!$A$2:$M$150,9,FALSE))</f>
        <v>0</v>
      </c>
      <c r="T373" s="33">
        <f>IF(E373="","",(H373*I373)-(J373+K373))</f>
        <v>0</v>
      </c>
      <c r="U373" s="33">
        <f>IF(E373="","",(I373*R373)/1000)</f>
        <v>0</v>
      </c>
      <c r="V373" s="123">
        <f>IF(G373="",0,(G373*H373)/3600)</f>
        <v>0</v>
      </c>
      <c r="W373" s="45">
        <f>IFERROR(IF(E373="","",(H373/P373)),0)</f>
        <v>0</v>
      </c>
      <c r="X373" s="94">
        <f>WEEKDAY(A373,1)</f>
        <v>2</v>
      </c>
      <c r="Y373" s="120">
        <f>MONTH(A373)</f>
        <v>8</v>
      </c>
      <c r="Z373" s="125">
        <f>WEEKNUM(A373)-WEEKNUM(DATE(YEAR(A373),MONTH(A373),1))+1</f>
        <v>1</v>
      </c>
      <c r="AA373" s="126">
        <f>IF(V373="",0,V373/8)</f>
        <v>0</v>
      </c>
      <c r="AB373" s="125">
        <f>IF(E373="02PZ03405",0,1)</f>
        <v>1</v>
      </c>
    </row>
    <row r="374" spans="1:28" x14ac:dyDescent="0.2">
      <c r="A374" s="149">
        <v>44769</v>
      </c>
      <c r="B374" s="31" t="s">
        <v>87</v>
      </c>
      <c r="C374" s="31" t="s">
        <v>92</v>
      </c>
      <c r="D374" s="38">
        <v>4</v>
      </c>
      <c r="E374" s="39" t="s">
        <v>192</v>
      </c>
      <c r="F374" s="33" t="str">
        <f>IF(E374="","",VLOOKUP(E374,'Base Datos'!$A$2:$M$150,2,FALSE))</f>
        <v>Cambio de Molde</v>
      </c>
      <c r="G374" s="99">
        <v>0</v>
      </c>
      <c r="H374" s="102">
        <v>0</v>
      </c>
      <c r="I374" s="32">
        <v>0</v>
      </c>
      <c r="J374" s="32"/>
      <c r="K374" s="31">
        <v>0</v>
      </c>
      <c r="L374" s="39">
        <v>184975</v>
      </c>
      <c r="M374" s="33">
        <f>IF(E374="","",VLOOKUP(E374,'Base Datos'!$A$2:$M$150,3,FALSE))</f>
        <v>0</v>
      </c>
      <c r="N374" s="23">
        <f>IF(E374="","",VLOOKUP(E374,'Base Datos'!$A$2:$M$150,4,FALSE))</f>
        <v>4</v>
      </c>
      <c r="O374" s="23">
        <f>IF(E374="","",VLOOKUP(E374,'Base Datos'!$A$2:$M$150,5,FALSE))</f>
        <v>0</v>
      </c>
      <c r="P374" s="23">
        <f>IF(E374="","",VLOOKUP(E374,'Base Datos'!$A$2:$M$150,6,FALSE))</f>
        <v>0</v>
      </c>
      <c r="Q374" s="23">
        <f>IF(E374="","",VLOOKUP(E374,'Base Datos'!$A$2:$M$150,7,FALSE))</f>
        <v>0</v>
      </c>
      <c r="R374" s="40">
        <f>IF(E374="","",VLOOKUP(E374,'Base Datos'!$A$2:$M$150,8,FALSE))</f>
        <v>0</v>
      </c>
      <c r="S374" s="40">
        <f>IF(E374="","",VLOOKUP(E374,'Base Datos'!$A$2:$M$150,9,FALSE))</f>
        <v>0</v>
      </c>
      <c r="T374" s="33">
        <f>IF(E374="","",(H374*I374)-(J374+K374))</f>
        <v>0</v>
      </c>
      <c r="U374" s="33">
        <f>IF(E374="","",(I374*R374)/1000)</f>
        <v>0</v>
      </c>
      <c r="V374" s="123">
        <f>IF(G374="",0,(G374*H374)/3600)</f>
        <v>0</v>
      </c>
      <c r="W374" s="45">
        <f>IFERROR(IF(E374="","",(H374/P374)),0)</f>
        <v>0</v>
      </c>
      <c r="X374" s="94">
        <f>WEEKDAY(A374,1)</f>
        <v>4</v>
      </c>
      <c r="Y374" s="120">
        <f>MONTH(A374)</f>
        <v>7</v>
      </c>
      <c r="Z374" s="125">
        <f>WEEKNUM(A374)-WEEKNUM(DATE(YEAR(A374),MONTH(A374),1))+1</f>
        <v>5</v>
      </c>
      <c r="AA374" s="126">
        <f>IF(V374="",0,V374/8)</f>
        <v>0</v>
      </c>
      <c r="AB374" s="125">
        <f>IF(E374="02PZ03405",0,1)</f>
        <v>1</v>
      </c>
    </row>
    <row r="375" spans="1:28" x14ac:dyDescent="0.2">
      <c r="A375" s="149">
        <v>44754</v>
      </c>
      <c r="B375" s="119" t="s">
        <v>87</v>
      </c>
      <c r="C375" s="31" t="s">
        <v>92</v>
      </c>
      <c r="D375" s="118">
        <v>5</v>
      </c>
      <c r="E375" s="39" t="s">
        <v>192</v>
      </c>
      <c r="F375" s="33" t="str">
        <f>IF(E375="","",VLOOKUP(E375,'Base Datos'!$A$2:$M$150,2,FALSE))</f>
        <v>Cambio de Molde</v>
      </c>
      <c r="G375" s="32">
        <v>0</v>
      </c>
      <c r="H375" s="102">
        <v>0</v>
      </c>
      <c r="I375" s="32">
        <v>0</v>
      </c>
      <c r="J375" s="32">
        <v>0</v>
      </c>
      <c r="K375" s="31">
        <v>0</v>
      </c>
      <c r="L375" s="39">
        <v>0</v>
      </c>
      <c r="M375" s="33">
        <f>IF(E375="","",VLOOKUP(E375,'Base Datos'!$A$2:$M$150,3,FALSE))</f>
        <v>0</v>
      </c>
      <c r="N375" s="23">
        <f>IF(E375="","",VLOOKUP(E375,'Base Datos'!$A$2:$M$150,4,FALSE))</f>
        <v>4</v>
      </c>
      <c r="O375" s="23">
        <f>IF(E375="","",VLOOKUP(E375,'Base Datos'!$A$2:$M$150,5,FALSE))</f>
        <v>0</v>
      </c>
      <c r="P375" s="23">
        <f>IF(E375="","",VLOOKUP(E375,'Base Datos'!$A$2:$M$150,6,FALSE))</f>
        <v>0</v>
      </c>
      <c r="Q375" s="23">
        <f>IF(E375="","",VLOOKUP(E375,'Base Datos'!$A$2:$M$150,7,FALSE))</f>
        <v>0</v>
      </c>
      <c r="R375" s="40">
        <f>IF(E375="","",VLOOKUP(E375,'Base Datos'!$A$2:$M$150,8,FALSE))</f>
        <v>0</v>
      </c>
      <c r="S375" s="40">
        <f>IF(E375="","",VLOOKUP(E375,'Base Datos'!$A$2:$M$150,9,FALSE))</f>
        <v>0</v>
      </c>
      <c r="T375" s="33">
        <f>IF(E375="","",(H375*I375)-(J375+K375))</f>
        <v>0</v>
      </c>
      <c r="U375" s="33">
        <f>IF(E375="","",(I375*R375)/1000)</f>
        <v>0</v>
      </c>
      <c r="V375" s="123">
        <f>IF(G375="",0,(G375*H375)/3600)</f>
        <v>0</v>
      </c>
      <c r="W375" s="45">
        <f>IFERROR(IF(E375="","",(H375/P375)),0)</f>
        <v>0</v>
      </c>
      <c r="X375" s="94">
        <f>WEEKDAY(A375,1)</f>
        <v>3</v>
      </c>
      <c r="Y375" s="120">
        <f>MONTH(A375)</f>
        <v>7</v>
      </c>
      <c r="Z375" s="125">
        <f>WEEKNUM(A375)-WEEKNUM(DATE(YEAR(A375),MONTH(A375),1))+1</f>
        <v>3</v>
      </c>
      <c r="AA375" s="126">
        <f>IF(V375="",0,V375/8)</f>
        <v>0</v>
      </c>
      <c r="AB375" s="125">
        <f>IF(E375="02PZ03405",0,1)</f>
        <v>1</v>
      </c>
    </row>
    <row r="376" spans="1:28" x14ac:dyDescent="0.2">
      <c r="A376" s="149">
        <v>44776</v>
      </c>
      <c r="B376" s="31" t="s">
        <v>34</v>
      </c>
      <c r="C376" s="31" t="s">
        <v>35</v>
      </c>
      <c r="D376" s="38">
        <v>5</v>
      </c>
      <c r="E376" s="39" t="s">
        <v>192</v>
      </c>
      <c r="F376" s="33" t="str">
        <f>IF(E376="","",VLOOKUP(E376,'Base Datos'!$A$2:$M$150,2,FALSE))</f>
        <v>Cambio de Molde</v>
      </c>
      <c r="G376" s="99">
        <v>0</v>
      </c>
      <c r="H376" s="102">
        <v>0</v>
      </c>
      <c r="I376" s="32">
        <v>0</v>
      </c>
      <c r="J376" s="32">
        <v>0</v>
      </c>
      <c r="K376" s="31">
        <v>0</v>
      </c>
      <c r="L376" s="39">
        <v>0</v>
      </c>
      <c r="M376" s="33">
        <f>IF(E376="","",VLOOKUP(E376,'Base Datos'!$A$2:$M$150,3,FALSE))</f>
        <v>0</v>
      </c>
      <c r="N376" s="23">
        <f>IF(E376="","",VLOOKUP(E376,'Base Datos'!$A$2:$M$150,4,FALSE))</f>
        <v>4</v>
      </c>
      <c r="O376" s="23">
        <f>IF(E376="","",VLOOKUP(E376,'Base Datos'!$A$2:$M$150,5,FALSE))</f>
        <v>0</v>
      </c>
      <c r="P376" s="23">
        <f>IF(E376="","",VLOOKUP(E376,'Base Datos'!$A$2:$M$150,6,FALSE))</f>
        <v>0</v>
      </c>
      <c r="Q376" s="23">
        <f>IF(E376="","",VLOOKUP(E376,'Base Datos'!$A$2:$M$150,7,FALSE))</f>
        <v>0</v>
      </c>
      <c r="R376" s="40">
        <f>IF(E376="","",VLOOKUP(E376,'Base Datos'!$A$2:$M$150,8,FALSE))</f>
        <v>0</v>
      </c>
      <c r="S376" s="40">
        <f>IF(E376="","",VLOOKUP(E376,'Base Datos'!$A$2:$M$150,9,FALSE))</f>
        <v>0</v>
      </c>
      <c r="T376" s="33">
        <f>IF(E376="","",(H376*I376)-(J376+K376))</f>
        <v>0</v>
      </c>
      <c r="U376" s="33">
        <f>IF(E376="","",(I376*R376)/1000)</f>
        <v>0</v>
      </c>
      <c r="V376" s="123">
        <f>IF(G376="",0,(G376*H376)/3600)</f>
        <v>0</v>
      </c>
      <c r="W376" s="45">
        <f>IFERROR(IF(E376="","",(H376/P376)),0)</f>
        <v>0</v>
      </c>
      <c r="X376" s="23">
        <f>WEEKDAY(A376,1)</f>
        <v>4</v>
      </c>
      <c r="Y376" s="120">
        <f>MONTH(A376)</f>
        <v>8</v>
      </c>
      <c r="Z376" s="125">
        <f>WEEKNUM(A376)-WEEKNUM(DATE(YEAR(A376),MONTH(A376),1))+1</f>
        <v>1</v>
      </c>
      <c r="AA376" s="126">
        <f>IF(V376="",0,V376/8)</f>
        <v>0</v>
      </c>
      <c r="AB376" s="125">
        <f>IF(E376="02PZ03405",0,1)</f>
        <v>1</v>
      </c>
    </row>
    <row r="377" spans="1:28" x14ac:dyDescent="0.2">
      <c r="A377" s="149">
        <v>44767</v>
      </c>
      <c r="B377" s="31" t="s">
        <v>34</v>
      </c>
      <c r="C377" s="31" t="s">
        <v>35</v>
      </c>
      <c r="D377" s="38">
        <v>5</v>
      </c>
      <c r="E377" s="39" t="s">
        <v>192</v>
      </c>
      <c r="F377" s="33" t="str">
        <f>IF(E377="","",VLOOKUP(E377,'Base Datos'!$A$2:$M$150,2,FALSE))</f>
        <v>Cambio de Molde</v>
      </c>
      <c r="G377" s="99">
        <v>46</v>
      </c>
      <c r="H377" s="102">
        <v>420</v>
      </c>
      <c r="I377" s="32">
        <v>1</v>
      </c>
      <c r="J377" s="32"/>
      <c r="K377" s="31"/>
      <c r="L377" s="39">
        <v>184975</v>
      </c>
      <c r="M377" s="33">
        <f>IF(E377="","",VLOOKUP(E377,'Base Datos'!$A$2:$M$150,3,FALSE))</f>
        <v>0</v>
      </c>
      <c r="N377" s="23">
        <f>IF(E377="","",VLOOKUP(E377,'Base Datos'!$A$2:$M$150,4,FALSE))</f>
        <v>4</v>
      </c>
      <c r="O377" s="23">
        <f>IF(E377="","",VLOOKUP(E377,'Base Datos'!$A$2:$M$150,5,FALSE))</f>
        <v>0</v>
      </c>
      <c r="P377" s="23">
        <f>IF(E377="","",VLOOKUP(E377,'Base Datos'!$A$2:$M$150,6,FALSE))</f>
        <v>0</v>
      </c>
      <c r="Q377" s="23">
        <f>IF(E377="","",VLOOKUP(E377,'Base Datos'!$A$2:$M$150,7,FALSE))</f>
        <v>0</v>
      </c>
      <c r="R377" s="40">
        <f>IF(E377="","",VLOOKUP(E377,'Base Datos'!$A$2:$M$150,8,FALSE))</f>
        <v>0</v>
      </c>
      <c r="S377" s="40">
        <f>IF(E377="","",VLOOKUP(E377,'Base Datos'!$A$2:$M$150,9,FALSE))</f>
        <v>0</v>
      </c>
      <c r="T377" s="33">
        <f>IF(E377="","",(H377*I377)-(J377+K377))</f>
        <v>420</v>
      </c>
      <c r="U377" s="33">
        <f>IF(E377="","",(I377*R377)/1000)</f>
        <v>0</v>
      </c>
      <c r="V377" s="123">
        <f>IF(G377="",0,(G377*H377)/3600)</f>
        <v>5.3666666666666663</v>
      </c>
      <c r="W377" s="45">
        <f>IFERROR(IF(E377="","",(H377/P377)),0)</f>
        <v>0</v>
      </c>
      <c r="X377" s="94">
        <f>WEEKDAY(A377,1)</f>
        <v>2</v>
      </c>
      <c r="Y377" s="120">
        <f>MONTH(A377)</f>
        <v>7</v>
      </c>
      <c r="Z377" s="125">
        <f>WEEKNUM(A377)-WEEKNUM(DATE(YEAR(A377),MONTH(A377),1))+1</f>
        <v>5</v>
      </c>
      <c r="AA377" s="126">
        <f>IF(V377="",0,V377/8)</f>
        <v>0.67083333333333328</v>
      </c>
      <c r="AB377" s="125">
        <f>IF(E377="02PZ03405",0,1)</f>
        <v>1</v>
      </c>
    </row>
    <row r="378" spans="1:28" x14ac:dyDescent="0.2">
      <c r="A378" s="149">
        <v>44769</v>
      </c>
      <c r="B378" s="31" t="s">
        <v>87</v>
      </c>
      <c r="C378" s="31" t="s">
        <v>93</v>
      </c>
      <c r="D378" s="38">
        <v>2</v>
      </c>
      <c r="E378" s="39" t="s">
        <v>192</v>
      </c>
      <c r="F378" s="33" t="str">
        <f>IF(E378="","",VLOOKUP(E378,'Base Datos'!$A$2:$M$150,2,FALSE))</f>
        <v>Cambio de Molde</v>
      </c>
      <c r="G378" s="99">
        <v>0</v>
      </c>
      <c r="H378" s="102">
        <v>0</v>
      </c>
      <c r="I378" s="32">
        <v>0</v>
      </c>
      <c r="J378" s="32"/>
      <c r="K378" s="31">
        <v>5</v>
      </c>
      <c r="L378" s="39">
        <v>184975</v>
      </c>
      <c r="M378" s="33">
        <f>IF(E378="","",VLOOKUP(E378,'Base Datos'!$A$2:$M$150,3,FALSE))</f>
        <v>0</v>
      </c>
      <c r="N378" s="23">
        <f>IF(E378="","",VLOOKUP(E378,'Base Datos'!$A$2:$M$150,4,FALSE))</f>
        <v>4</v>
      </c>
      <c r="O378" s="23">
        <f>IF(E378="","",VLOOKUP(E378,'Base Datos'!$A$2:$M$150,5,FALSE))</f>
        <v>0</v>
      </c>
      <c r="P378" s="23">
        <f>IF(E378="","",VLOOKUP(E378,'Base Datos'!$A$2:$M$150,6,FALSE))</f>
        <v>0</v>
      </c>
      <c r="Q378" s="23">
        <f>IF(E378="","",VLOOKUP(E378,'Base Datos'!$A$2:$M$150,7,FALSE))</f>
        <v>0</v>
      </c>
      <c r="R378" s="40">
        <f>IF(E378="","",VLOOKUP(E378,'Base Datos'!$A$2:$M$150,8,FALSE))</f>
        <v>0</v>
      </c>
      <c r="S378" s="40">
        <f>IF(E378="","",VLOOKUP(E378,'Base Datos'!$A$2:$M$150,9,FALSE))</f>
        <v>0</v>
      </c>
      <c r="T378" s="33">
        <f>IF(E378="","",(H378*I378)-(J378+K378))</f>
        <v>-5</v>
      </c>
      <c r="U378" s="33">
        <f>IF(E378="","",(I378*R378)/1000)</f>
        <v>0</v>
      </c>
      <c r="V378" s="123">
        <f>IF(G378="",0,(G378*H378)/3600)</f>
        <v>0</v>
      </c>
      <c r="W378" s="45">
        <f>IFERROR(IF(E378="","",(H378/P378)),0)</f>
        <v>0</v>
      </c>
      <c r="X378" s="94">
        <f>WEEKDAY(A378,1)</f>
        <v>4</v>
      </c>
      <c r="Y378" s="120">
        <f>MONTH(A378)</f>
        <v>7</v>
      </c>
      <c r="Z378" s="125">
        <f>WEEKNUM(A378)-WEEKNUM(DATE(YEAR(A378),MONTH(A378),1))+1</f>
        <v>5</v>
      </c>
      <c r="AA378" s="126">
        <f>IF(V378="",0,V378/8)</f>
        <v>0</v>
      </c>
      <c r="AB378" s="125">
        <f>IF(E378="02PZ03405",0,1)</f>
        <v>1</v>
      </c>
    </row>
    <row r="379" spans="1:28" x14ac:dyDescent="0.2">
      <c r="A379" s="149">
        <v>44776</v>
      </c>
      <c r="B379" s="31" t="s">
        <v>87</v>
      </c>
      <c r="C379" s="31" t="s">
        <v>93</v>
      </c>
      <c r="D379" s="38">
        <v>2</v>
      </c>
      <c r="E379" s="39" t="s">
        <v>64</v>
      </c>
      <c r="F379" s="33" t="s">
        <v>199</v>
      </c>
      <c r="G379" s="99">
        <v>41.7</v>
      </c>
      <c r="H379" s="102">
        <v>585</v>
      </c>
      <c r="I379" s="32">
        <v>1</v>
      </c>
      <c r="J379" s="32"/>
      <c r="K379" s="31">
        <v>9</v>
      </c>
      <c r="L379" s="39">
        <v>184975</v>
      </c>
      <c r="M379" s="33">
        <f>IF(E379="","",VLOOKUP(E379,'Base Datos'!$A$2:$M$150,3,FALSE))</f>
        <v>35</v>
      </c>
      <c r="N379" s="23">
        <f>IF(E379="","",VLOOKUP(E379,'Base Datos'!$A$2:$M$150,4,FALSE))</f>
        <v>103</v>
      </c>
      <c r="O379" s="23">
        <f>IF(E379="","",VLOOKUP(E379,'Base Datos'!$A$2:$M$150,5,FALSE))</f>
        <v>35</v>
      </c>
      <c r="P379" s="23">
        <f>IF(E379="","",VLOOKUP(E379,'Base Datos'!$A$2:$M$150,6,FALSE))</f>
        <v>824</v>
      </c>
      <c r="Q379" s="23">
        <f>IF(E379="","",VLOOKUP(E379,'Base Datos'!$A$2:$M$150,7,FALSE))</f>
        <v>1</v>
      </c>
      <c r="R379" s="40">
        <f>IF(E379="","",VLOOKUP(E379,'Base Datos'!$A$2:$M$150,8,FALSE))</f>
        <v>65</v>
      </c>
      <c r="S379" s="40" t="str">
        <f>IF(E379="","",VLOOKUP(E379,'Base Datos'!$A$2:$M$150,9,FALSE))</f>
        <v>PP</v>
      </c>
      <c r="T379" s="33">
        <f>IF(E379="","",(H379*I379)-(J379+K379))</f>
        <v>576</v>
      </c>
      <c r="U379" s="33">
        <f>IF(E379="","",(I379*R379)/1000)</f>
        <v>6.5000000000000002E-2</v>
      </c>
      <c r="V379" s="123">
        <f>IF(G379="",0,(G379*H379)/3600)</f>
        <v>6.7762500000000001</v>
      </c>
      <c r="W379" s="45">
        <f>IFERROR(IF(E379="","",(H379/P379)),0)</f>
        <v>0.70995145631067957</v>
      </c>
      <c r="X379" s="23">
        <f>WEEKDAY(A379,1)</f>
        <v>4</v>
      </c>
      <c r="Y379" s="120">
        <f>MONTH(A379)</f>
        <v>8</v>
      </c>
      <c r="Z379" s="125">
        <f>WEEKNUM(A379)-WEEKNUM(DATE(YEAR(A379),MONTH(A379),1))+1</f>
        <v>1</v>
      </c>
      <c r="AA379" s="126">
        <f>IF(V379="",0,V379/8)</f>
        <v>0.84703125000000001</v>
      </c>
      <c r="AB379" s="125">
        <f>IF(E379="02PZ03405",0,1)</f>
        <v>1</v>
      </c>
    </row>
    <row r="380" spans="1:28" x14ac:dyDescent="0.2">
      <c r="A380" s="149">
        <v>44770</v>
      </c>
      <c r="B380" s="31" t="s">
        <v>34</v>
      </c>
      <c r="C380" s="31" t="s">
        <v>90</v>
      </c>
      <c r="D380" s="38">
        <v>4</v>
      </c>
      <c r="E380" s="39" t="s">
        <v>197</v>
      </c>
      <c r="F380" s="33" t="str">
        <f>IF(E380="","",VLOOKUP(E380,'Base Datos'!$A$2:$M$150,2,FALSE))</f>
        <v>Ajuste de Robot</v>
      </c>
      <c r="G380" s="99"/>
      <c r="H380" s="102"/>
      <c r="I380" s="32"/>
      <c r="J380" s="32"/>
      <c r="K380" s="31"/>
      <c r="L380" s="39"/>
      <c r="M380" s="33">
        <f>IF(E380="","",VLOOKUP(E380,'Base Datos'!$A$2:$M$150,3,FALSE))</f>
        <v>0</v>
      </c>
      <c r="N380" s="23">
        <f>IF(E380="","",VLOOKUP(E380,'Base Datos'!$A$2:$M$150,4,FALSE))</f>
        <v>0</v>
      </c>
      <c r="O380" s="23">
        <f>IF(E380="","",VLOOKUP(E380,'Base Datos'!$A$2:$M$150,5,FALSE))</f>
        <v>0</v>
      </c>
      <c r="P380" s="23">
        <f>IF(E380="","",VLOOKUP(E380,'Base Datos'!$A$2:$M$150,6,FALSE))</f>
        <v>0</v>
      </c>
      <c r="Q380" s="23">
        <f>IF(E380="","",VLOOKUP(E380,'Base Datos'!$A$2:$M$150,7,FALSE))</f>
        <v>0</v>
      </c>
      <c r="R380" s="40">
        <f>IF(E380="","",VLOOKUP(E380,'Base Datos'!$A$2:$M$150,8,FALSE))</f>
        <v>0</v>
      </c>
      <c r="S380" s="40">
        <f>IF(E380="","",VLOOKUP(E380,'Base Datos'!$A$2:$M$150,9,FALSE))</f>
        <v>0</v>
      </c>
      <c r="T380" s="33">
        <f>IF(E380="","",(H380*I380)-(J380+K380))</f>
        <v>0</v>
      </c>
      <c r="U380" s="33">
        <f>IF(E380="","",(I380*R380)/1000)</f>
        <v>0</v>
      </c>
      <c r="V380" s="123">
        <f>IF(G380="",0,(G380*H380)/3600)</f>
        <v>0</v>
      </c>
      <c r="W380" s="45">
        <f>IFERROR(IF(E380="","",(H380/P380)),0)</f>
        <v>0</v>
      </c>
      <c r="X380" s="94">
        <f>WEEKDAY(A380,1)</f>
        <v>5</v>
      </c>
      <c r="Y380" s="120">
        <f>MONTH(A380)</f>
        <v>7</v>
      </c>
      <c r="Z380" s="125">
        <f>WEEKNUM(A380)-WEEKNUM(DATE(YEAR(A380),MONTH(A380),1))+1</f>
        <v>5</v>
      </c>
      <c r="AA380" s="126">
        <f>IF(V380="",0,V380/8)</f>
        <v>0</v>
      </c>
      <c r="AB380" s="125">
        <f>IF(E380="02PZ03405",0,1)</f>
        <v>1</v>
      </c>
    </row>
    <row r="381" spans="1:28" ht="15" x14ac:dyDescent="0.25">
      <c r="A381" s="133"/>
      <c r="B381" s="134"/>
      <c r="C381" s="134"/>
      <c r="D381" s="135"/>
      <c r="E381" s="133"/>
      <c r="F381" s="136"/>
      <c r="G381" s="133"/>
      <c r="H381" s="133"/>
      <c r="I381" s="133"/>
      <c r="J381" s="133"/>
      <c r="K381" s="133"/>
      <c r="L381" s="133"/>
      <c r="M381" s="137"/>
      <c r="N381" s="137"/>
      <c r="O381" s="137"/>
      <c r="P381" s="137"/>
      <c r="Q381" s="137"/>
      <c r="R381" s="137"/>
      <c r="S381" s="137"/>
      <c r="T381" s="137">
        <f>SUBTOTAL(109,Entrada1[Fabricado])</f>
        <v>655287.30000000005</v>
      </c>
      <c r="U381" s="138"/>
      <c r="V381" s="139"/>
      <c r="W381" s="140"/>
      <c r="X381" s="44"/>
      <c r="Y381" s="44"/>
      <c r="Z381" s="44"/>
      <c r="AA381" s="44"/>
      <c r="AB381" s="44"/>
    </row>
    <row r="382" spans="1:28" x14ac:dyDescent="0.2">
      <c r="D382" s="93"/>
      <c r="V382" s="93"/>
      <c r="W382" s="93"/>
      <c r="X382" s="93"/>
    </row>
    <row r="383" spans="1:28" x14ac:dyDescent="0.2">
      <c r="D383" s="93"/>
      <c r="V383" s="93"/>
      <c r="W383" s="93"/>
      <c r="X383" s="93"/>
    </row>
    <row r="384" spans="1:28" x14ac:dyDescent="0.2">
      <c r="D384" s="93"/>
      <c r="V384" s="93"/>
      <c r="W384" s="93"/>
      <c r="X384" s="93"/>
    </row>
    <row r="385" spans="4:24" x14ac:dyDescent="0.2">
      <c r="D385" s="93"/>
      <c r="V385" s="93"/>
      <c r="W385" s="93"/>
      <c r="X385" s="93"/>
    </row>
    <row r="386" spans="4:24" x14ac:dyDescent="0.2">
      <c r="D386" s="93"/>
      <c r="V386" s="93"/>
      <c r="W386" s="93"/>
      <c r="X386" s="93"/>
    </row>
    <row r="387" spans="4:24" x14ac:dyDescent="0.2">
      <c r="D387" s="93"/>
      <c r="V387" s="93"/>
      <c r="W387" s="93"/>
      <c r="X387" s="93"/>
    </row>
    <row r="388" spans="4:24" x14ac:dyDescent="0.2">
      <c r="D388" s="93"/>
      <c r="V388" s="93"/>
      <c r="W388" s="93"/>
      <c r="X388" s="93"/>
    </row>
    <row r="389" spans="4:24" x14ac:dyDescent="0.2">
      <c r="D389" s="93"/>
      <c r="V389" s="93"/>
      <c r="W389" s="93"/>
      <c r="X389" s="93"/>
    </row>
    <row r="390" spans="4:24" x14ac:dyDescent="0.2">
      <c r="D390" s="93"/>
      <c r="V390" s="93"/>
      <c r="W390" s="93"/>
      <c r="X390" s="93"/>
    </row>
    <row r="391" spans="4:24" x14ac:dyDescent="0.2">
      <c r="D391" s="93"/>
      <c r="V391" s="93"/>
      <c r="W391" s="93"/>
      <c r="X391" s="93"/>
    </row>
    <row r="392" spans="4:24" x14ac:dyDescent="0.2">
      <c r="D392" s="93"/>
      <c r="V392" s="93"/>
      <c r="W392" s="93"/>
      <c r="X392" s="93"/>
    </row>
    <row r="393" spans="4:24" x14ac:dyDescent="0.2">
      <c r="D393" s="93"/>
      <c r="V393" s="93"/>
      <c r="W393" s="93"/>
      <c r="X393" s="93"/>
    </row>
    <row r="394" spans="4:24" x14ac:dyDescent="0.2">
      <c r="D394" s="93"/>
      <c r="V394" s="93"/>
      <c r="W394" s="93"/>
      <c r="X394" s="93"/>
    </row>
    <row r="395" spans="4:24" x14ac:dyDescent="0.2">
      <c r="D395" s="93"/>
      <c r="V395" s="93"/>
      <c r="W395" s="93"/>
      <c r="X395" s="93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'Base Datos'!$A$3:$A$150</xm:f>
          </x14:formula1>
          <xm:sqref>E2:E380</xm:sqref>
        </x14:dataValidation>
        <x14:dataValidation type="list" allowBlank="1" showInputMessage="1" showErrorMessage="1">
          <x14:formula1>
            <xm:f>Configuracion!$B$19:$B$24</xm:f>
          </x14:formula1>
          <xm:sqref>D2:D380</xm:sqref>
        </x14:dataValidation>
        <x14:dataValidation type="list" allowBlank="1" showInputMessage="1" showErrorMessage="1">
          <x14:formula1>
            <xm:f>Configuracion!$B$8:$B$16</xm:f>
          </x14:formula1>
          <xm:sqref>C2 C4:C13 C15:C17 C139:C149 C151 C188:C233 C235:C265 C267:C268 C270 C153:C186 C106:C134 C49:C58 C60:C102 C19:C47 C136 C272:C379</xm:sqref>
        </x14:dataValidation>
        <x14:dataValidation type="list" allowBlank="1" showInputMessage="1" showErrorMessage="1">
          <x14:formula1>
            <xm:f>Configuracion!$B$2:$B$5</xm:f>
          </x14:formula1>
          <xm:sqref>B2:B380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5"/>
  <sheetViews>
    <sheetView workbookViewId="0">
      <selection activeCell="D8" sqref="D8"/>
    </sheetView>
  </sheetViews>
  <sheetFormatPr baseColWidth="10" defaultRowHeight="15" x14ac:dyDescent="0.25"/>
  <cols>
    <col min="1" max="1" width="18.28515625" customWidth="1"/>
    <col min="2" max="2" width="12.140625" customWidth="1"/>
    <col min="3" max="3" width="16.5703125" customWidth="1"/>
    <col min="4" max="4" width="28.28515625" customWidth="1"/>
    <col min="5" max="5" width="21.5703125" customWidth="1"/>
    <col min="6" max="6" width="17.28515625" customWidth="1"/>
    <col min="7" max="10" width="21.42578125" customWidth="1"/>
    <col min="11" max="11" width="24.28515625" customWidth="1"/>
    <col min="12" max="12" width="23.42578125" customWidth="1"/>
    <col min="13" max="14" width="7" customWidth="1"/>
    <col min="15" max="16" width="8" customWidth="1"/>
    <col min="17" max="18" width="7" customWidth="1"/>
    <col min="19" max="19" width="6" customWidth="1"/>
    <col min="20" max="20" width="7" customWidth="1"/>
    <col min="21" max="21" width="7" bestFit="1" customWidth="1"/>
    <col min="22" max="29" width="7" customWidth="1"/>
    <col min="30" max="30" width="7" bestFit="1" customWidth="1"/>
    <col min="31" max="40" width="7" customWidth="1"/>
    <col min="41" max="41" width="7" bestFit="1" customWidth="1"/>
    <col min="42" max="42" width="7" customWidth="1"/>
    <col min="43" max="43" width="7.85546875" customWidth="1"/>
    <col min="44" max="45" width="7" customWidth="1"/>
    <col min="46" max="46" width="7" bestFit="1" customWidth="1"/>
    <col min="47" max="47" width="8" customWidth="1"/>
    <col min="48" max="48" width="7.85546875" customWidth="1"/>
    <col min="49" max="49" width="8" customWidth="1"/>
    <col min="50" max="55" width="7.85546875" customWidth="1"/>
    <col min="56" max="62" width="8" customWidth="1"/>
    <col min="63" max="63" width="7.85546875" customWidth="1"/>
    <col min="64" max="64" width="7" customWidth="1"/>
    <col min="65" max="66" width="8" customWidth="1"/>
    <col min="67" max="67" width="7" bestFit="1" customWidth="1"/>
    <col min="68" max="68" width="7.85546875" customWidth="1"/>
    <col min="69" max="71" width="8" customWidth="1"/>
    <col min="72" max="72" width="7" customWidth="1"/>
    <col min="73" max="76" width="8" customWidth="1"/>
    <col min="77" max="77" width="8" bestFit="1" customWidth="1"/>
    <col min="78" max="78" width="8" customWidth="1"/>
    <col min="79" max="79" width="11.85546875" bestFit="1" customWidth="1"/>
    <col min="80" max="80" width="12" bestFit="1" customWidth="1"/>
    <col min="81" max="81" width="5" bestFit="1" customWidth="1"/>
    <col min="82" max="91" width="12" bestFit="1" customWidth="1"/>
    <col min="92" max="92" width="5" bestFit="1" customWidth="1"/>
    <col min="93" max="94" width="12" bestFit="1" customWidth="1"/>
    <col min="95" max="95" width="7" bestFit="1" customWidth="1"/>
    <col min="96" max="103" width="12" bestFit="1" customWidth="1"/>
    <col min="104" max="104" width="8" bestFit="1" customWidth="1"/>
    <col min="105" max="105" width="7" bestFit="1" customWidth="1"/>
    <col min="106" max="109" width="12" bestFit="1" customWidth="1"/>
    <col min="110" max="110" width="9" bestFit="1" customWidth="1"/>
    <col min="111" max="111" width="12" bestFit="1" customWidth="1"/>
    <col min="112" max="112" width="4" bestFit="1" customWidth="1"/>
    <col min="113" max="113" width="7" bestFit="1" customWidth="1"/>
    <col min="114" max="117" width="12" bestFit="1" customWidth="1"/>
    <col min="118" max="118" width="5" bestFit="1" customWidth="1"/>
    <col min="119" max="121" width="12" bestFit="1" customWidth="1"/>
    <col min="122" max="122" width="6" bestFit="1" customWidth="1"/>
    <col min="123" max="124" width="12" bestFit="1" customWidth="1"/>
    <col min="125" max="125" width="11" bestFit="1" customWidth="1"/>
    <col min="126" max="127" width="12" bestFit="1" customWidth="1"/>
    <col min="128" max="128" width="6" bestFit="1" customWidth="1"/>
    <col min="129" max="134" width="12" bestFit="1" customWidth="1"/>
    <col min="135" max="135" width="5" bestFit="1" customWidth="1"/>
    <col min="136" max="136" width="12" bestFit="1" customWidth="1"/>
    <col min="137" max="137" width="6" bestFit="1" customWidth="1"/>
    <col min="138" max="138" width="5" bestFit="1" customWidth="1"/>
    <col min="139" max="153" width="12" bestFit="1" customWidth="1"/>
    <col min="154" max="154" width="9" bestFit="1" customWidth="1"/>
    <col min="155" max="155" width="12" bestFit="1" customWidth="1"/>
    <col min="156" max="156" width="6" bestFit="1" customWidth="1"/>
    <col min="157" max="158" width="12" bestFit="1" customWidth="1"/>
    <col min="159" max="159" width="7" bestFit="1" customWidth="1"/>
    <col min="160" max="164" width="12" bestFit="1" customWidth="1"/>
    <col min="165" max="165" width="11" bestFit="1" customWidth="1"/>
    <col min="166" max="169" width="12" bestFit="1" customWidth="1"/>
    <col min="170" max="170" width="5" bestFit="1" customWidth="1"/>
    <col min="171" max="171" width="6" bestFit="1" customWidth="1"/>
    <col min="172" max="177" width="12" bestFit="1" customWidth="1"/>
    <col min="178" max="178" width="2" bestFit="1" customWidth="1"/>
    <col min="179" max="183" width="12" bestFit="1" customWidth="1"/>
    <col min="184" max="184" width="6" bestFit="1" customWidth="1"/>
    <col min="185" max="192" width="12" bestFit="1" customWidth="1"/>
    <col min="193" max="193" width="5" bestFit="1" customWidth="1"/>
    <col min="194" max="194" width="12" bestFit="1" customWidth="1"/>
    <col min="195" max="195" width="7" bestFit="1" customWidth="1"/>
    <col min="196" max="197" width="12" bestFit="1" customWidth="1"/>
    <col min="198" max="198" width="6" bestFit="1" customWidth="1"/>
    <col min="199" max="201" width="12" bestFit="1" customWidth="1"/>
    <col min="202" max="202" width="5" bestFit="1" customWidth="1"/>
    <col min="203" max="204" width="12" bestFit="1" customWidth="1"/>
    <col min="205" max="205" width="8" bestFit="1" customWidth="1"/>
    <col min="206" max="206" width="11" bestFit="1" customWidth="1"/>
    <col min="207" max="218" width="12" bestFit="1" customWidth="1"/>
    <col min="219" max="219" width="11" bestFit="1" customWidth="1"/>
    <col min="220" max="220" width="12" bestFit="1" customWidth="1"/>
    <col min="221" max="221" width="5" bestFit="1" customWidth="1"/>
    <col min="222" max="227" width="12" bestFit="1" customWidth="1"/>
    <col min="228" max="228" width="4" bestFit="1" customWidth="1"/>
    <col min="229" max="237" width="12" bestFit="1" customWidth="1"/>
    <col min="238" max="238" width="6" bestFit="1" customWidth="1"/>
    <col min="239" max="239" width="12" bestFit="1" customWidth="1"/>
    <col min="240" max="240" width="11" bestFit="1" customWidth="1"/>
    <col min="241" max="246" width="12" bestFit="1" customWidth="1"/>
    <col min="247" max="247" width="11" bestFit="1" customWidth="1"/>
    <col min="248" max="251" width="12" bestFit="1" customWidth="1"/>
    <col min="252" max="252" width="11.85546875" bestFit="1" customWidth="1"/>
  </cols>
  <sheetData>
    <row r="2" spans="1:6" x14ac:dyDescent="0.25">
      <c r="A2" s="127" t="s">
        <v>278</v>
      </c>
      <c r="B2" s="44">
        <v>7</v>
      </c>
    </row>
    <row r="3" spans="1:6" x14ac:dyDescent="0.25">
      <c r="A3" s="127" t="s">
        <v>279</v>
      </c>
      <c r="B3" s="44" t="s">
        <v>267</v>
      </c>
    </row>
    <row r="4" spans="1:6" x14ac:dyDescent="0.25">
      <c r="A4" s="127" t="s">
        <v>280</v>
      </c>
      <c r="B4" s="44" t="s">
        <v>267</v>
      </c>
    </row>
    <row r="6" spans="1:6" x14ac:dyDescent="0.25">
      <c r="A6" s="127" t="s">
        <v>277</v>
      </c>
      <c r="B6" s="44" t="s">
        <v>270</v>
      </c>
      <c r="C6" s="44" t="s">
        <v>271</v>
      </c>
      <c r="D6" s="44" t="s">
        <v>274</v>
      </c>
      <c r="E6" s="44" t="s">
        <v>276</v>
      </c>
      <c r="F6" s="44" t="s">
        <v>281</v>
      </c>
    </row>
    <row r="7" spans="1:6" x14ac:dyDescent="0.25">
      <c r="A7" s="44" t="s">
        <v>34</v>
      </c>
      <c r="B7" s="128">
        <v>662.05275000000029</v>
      </c>
      <c r="C7" s="129">
        <v>0.7527680230178172</v>
      </c>
      <c r="D7" s="130">
        <v>0.78815803571428611</v>
      </c>
      <c r="E7" s="130">
        <v>1</v>
      </c>
      <c r="F7" s="132">
        <v>265182</v>
      </c>
    </row>
    <row r="8" spans="1:6" x14ac:dyDescent="0.25">
      <c r="A8" s="131">
        <v>1</v>
      </c>
      <c r="B8" s="128">
        <v>141.68816666666666</v>
      </c>
      <c r="C8" s="129">
        <v>0.85171346068867948</v>
      </c>
      <c r="D8" s="130">
        <v>0.84338194444444436</v>
      </c>
      <c r="E8" s="130">
        <v>1</v>
      </c>
      <c r="F8" s="132">
        <v>67086</v>
      </c>
    </row>
    <row r="9" spans="1:6" x14ac:dyDescent="0.25">
      <c r="A9" s="131">
        <v>2</v>
      </c>
      <c r="B9" s="128">
        <v>116.65922222222223</v>
      </c>
      <c r="C9" s="129">
        <v>0.79576988771253321</v>
      </c>
      <c r="D9" s="130">
        <v>0.76749488304093572</v>
      </c>
      <c r="E9" s="130">
        <v>1</v>
      </c>
      <c r="F9" s="132">
        <v>15737</v>
      </c>
    </row>
    <row r="10" spans="1:6" x14ac:dyDescent="0.25">
      <c r="A10" s="131">
        <v>3</v>
      </c>
      <c r="B10" s="128">
        <v>129.93716666666666</v>
      </c>
      <c r="C10" s="129">
        <v>0.68600761866235183</v>
      </c>
      <c r="D10" s="130">
        <v>0.77343551587301584</v>
      </c>
      <c r="E10" s="130">
        <v>1</v>
      </c>
      <c r="F10" s="132">
        <v>38176</v>
      </c>
    </row>
    <row r="11" spans="1:6" x14ac:dyDescent="0.25">
      <c r="A11" s="131">
        <v>4</v>
      </c>
      <c r="B11" s="128">
        <v>136.24252777777778</v>
      </c>
      <c r="C11" s="129">
        <v>0.79906334368068499</v>
      </c>
      <c r="D11" s="130">
        <v>0.81096742724867732</v>
      </c>
      <c r="E11" s="130">
        <v>1</v>
      </c>
      <c r="F11" s="132">
        <v>122910</v>
      </c>
    </row>
    <row r="12" spans="1:6" x14ac:dyDescent="0.25">
      <c r="A12" s="131">
        <v>5</v>
      </c>
      <c r="B12" s="128">
        <v>137.52566666666667</v>
      </c>
      <c r="C12" s="129">
        <v>0.64558876811594201</v>
      </c>
      <c r="D12" s="130">
        <v>0.74742210144927534</v>
      </c>
      <c r="E12" s="130">
        <v>1</v>
      </c>
      <c r="F12" s="132">
        <v>21273</v>
      </c>
    </row>
    <row r="13" spans="1:6" x14ac:dyDescent="0.25">
      <c r="A13" s="44" t="s">
        <v>87</v>
      </c>
      <c r="B13" s="128">
        <v>626.226</v>
      </c>
      <c r="C13" s="129">
        <v>0.71835869417320453</v>
      </c>
      <c r="D13" s="130">
        <v>0.71162045454545453</v>
      </c>
      <c r="E13" s="130">
        <v>0.97272727272727277</v>
      </c>
      <c r="F13" s="132">
        <v>220508</v>
      </c>
    </row>
    <row r="14" spans="1:6" x14ac:dyDescent="0.25">
      <c r="A14" s="131">
        <v>1</v>
      </c>
      <c r="B14" s="128">
        <v>115.495</v>
      </c>
      <c r="C14" s="129">
        <v>0.85956595815559378</v>
      </c>
      <c r="D14" s="130">
        <v>0.75983552631578954</v>
      </c>
      <c r="E14" s="130">
        <v>0.94736842105263153</v>
      </c>
      <c r="F14" s="132">
        <v>54475</v>
      </c>
    </row>
    <row r="15" spans="1:6" x14ac:dyDescent="0.25">
      <c r="A15" s="131">
        <v>2</v>
      </c>
      <c r="B15" s="128">
        <v>119.84472222222225</v>
      </c>
      <c r="C15" s="129">
        <v>0.65572223511563243</v>
      </c>
      <c r="D15" s="130">
        <v>0.62419126157407423</v>
      </c>
      <c r="E15" s="130">
        <v>1</v>
      </c>
      <c r="F15" s="132">
        <v>11244</v>
      </c>
    </row>
    <row r="16" spans="1:6" x14ac:dyDescent="0.25">
      <c r="A16" s="131">
        <v>3</v>
      </c>
      <c r="B16" s="128">
        <v>119.32527777777779</v>
      </c>
      <c r="C16" s="129">
        <v>0.70315314057122313</v>
      </c>
      <c r="D16" s="130">
        <v>0.7102695105820106</v>
      </c>
      <c r="E16" s="130">
        <v>1</v>
      </c>
      <c r="F16" s="132">
        <v>28970</v>
      </c>
    </row>
    <row r="17" spans="1:6" x14ac:dyDescent="0.25">
      <c r="A17" s="131">
        <v>4</v>
      </c>
      <c r="B17" s="128">
        <v>135.13130555555557</v>
      </c>
      <c r="C17" s="129">
        <v>0.74666609678226104</v>
      </c>
      <c r="D17" s="130">
        <v>0.73440926932367157</v>
      </c>
      <c r="E17" s="130">
        <v>0.95652173913043481</v>
      </c>
      <c r="F17" s="132">
        <v>108670</v>
      </c>
    </row>
    <row r="18" spans="1:6" x14ac:dyDescent="0.25">
      <c r="A18" s="131">
        <v>5</v>
      </c>
      <c r="B18" s="128">
        <v>136.42969444444446</v>
      </c>
      <c r="C18" s="129">
        <v>0.65264492753623182</v>
      </c>
      <c r="D18" s="130">
        <v>0.74146573067632859</v>
      </c>
      <c r="E18" s="130">
        <v>0.95652173913043481</v>
      </c>
      <c r="F18" s="132">
        <v>17149</v>
      </c>
    </row>
    <row r="19" spans="1:6" x14ac:dyDescent="0.25">
      <c r="A19" s="44" t="s">
        <v>86</v>
      </c>
      <c r="B19" s="128">
        <v>367.17777777777781</v>
      </c>
      <c r="C19" s="129">
        <v>0.43019150385948668</v>
      </c>
      <c r="D19" s="130">
        <v>0.44997276688453164</v>
      </c>
      <c r="E19" s="130">
        <v>0.75490196078431371</v>
      </c>
      <c r="F19" s="132">
        <v>110751.3</v>
      </c>
    </row>
    <row r="20" spans="1:6" x14ac:dyDescent="0.25">
      <c r="A20" s="131">
        <v>1</v>
      </c>
      <c r="B20" s="128">
        <v>56.02341666666667</v>
      </c>
      <c r="C20" s="129">
        <v>0.32910017023463017</v>
      </c>
      <c r="D20" s="130">
        <v>0.36857510964912282</v>
      </c>
      <c r="E20" s="130">
        <v>0.68421052631578949</v>
      </c>
      <c r="F20" s="132">
        <v>16518</v>
      </c>
    </row>
    <row r="21" spans="1:6" x14ac:dyDescent="0.25">
      <c r="A21" s="131">
        <v>2</v>
      </c>
      <c r="B21" s="128">
        <v>85.187250000000006</v>
      </c>
      <c r="C21" s="129">
        <v>0.52339226266455219</v>
      </c>
      <c r="D21" s="130">
        <v>0.53242031249999999</v>
      </c>
      <c r="E21" s="130">
        <v>0.9</v>
      </c>
      <c r="F21" s="132">
        <v>5675.3</v>
      </c>
    </row>
    <row r="22" spans="1:6" x14ac:dyDescent="0.25">
      <c r="A22" s="131">
        <v>3</v>
      </c>
      <c r="B22" s="128">
        <v>89.539888888888882</v>
      </c>
      <c r="C22" s="129">
        <v>0.47858838033595319</v>
      </c>
      <c r="D22" s="130">
        <v>0.53297552910052903</v>
      </c>
      <c r="E22" s="130">
        <v>0.80952380952380953</v>
      </c>
      <c r="F22" s="132">
        <v>18403</v>
      </c>
    </row>
    <row r="23" spans="1:6" x14ac:dyDescent="0.25">
      <c r="A23" s="131">
        <v>4</v>
      </c>
      <c r="B23" s="128">
        <v>75.536083333333337</v>
      </c>
      <c r="C23" s="129">
        <v>0.4668101072474734</v>
      </c>
      <c r="D23" s="130">
        <v>0.44961954365079365</v>
      </c>
      <c r="E23" s="130">
        <v>0.7142857142857143</v>
      </c>
      <c r="F23" s="132">
        <v>64019</v>
      </c>
    </row>
    <row r="24" spans="1:6" x14ac:dyDescent="0.25">
      <c r="A24" s="131">
        <v>5</v>
      </c>
      <c r="B24" s="128">
        <v>60.891138888888896</v>
      </c>
      <c r="C24" s="129">
        <v>0.34787698412698415</v>
      </c>
      <c r="D24" s="130">
        <v>0.36244725529100535</v>
      </c>
      <c r="E24" s="130">
        <v>0.66666666666666663</v>
      </c>
      <c r="F24" s="132">
        <v>6136</v>
      </c>
    </row>
    <row r="25" spans="1:6" x14ac:dyDescent="0.25">
      <c r="A25" s="44" t="s">
        <v>266</v>
      </c>
      <c r="B25" s="128">
        <v>1655.4565277777774</v>
      </c>
      <c r="C25" s="129">
        <v>0.63703353996716361</v>
      </c>
      <c r="D25" s="130">
        <v>0.6527825424991236</v>
      </c>
      <c r="E25" s="130">
        <v>0.91167192429022081</v>
      </c>
      <c r="F25" s="132">
        <v>596441.30000000005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36"/>
  <sheetViews>
    <sheetView topLeftCell="A9" zoomScaleNormal="100" workbookViewId="0">
      <selection activeCell="I24" sqref="I24"/>
    </sheetView>
  </sheetViews>
  <sheetFormatPr baseColWidth="10" defaultRowHeight="15" x14ac:dyDescent="0.25"/>
  <cols>
    <col min="1" max="1" width="12.42578125" bestFit="1" customWidth="1"/>
    <col min="2" max="2" width="45" bestFit="1" customWidth="1"/>
    <col min="3" max="3" width="10.7109375" bestFit="1" customWidth="1"/>
    <col min="4" max="4" width="11.28515625" bestFit="1" customWidth="1"/>
    <col min="5" max="5" width="10.7109375" bestFit="1" customWidth="1"/>
    <col min="6" max="6" width="14.140625" bestFit="1" customWidth="1"/>
    <col min="7" max="7" width="10.42578125" bestFit="1" customWidth="1"/>
    <col min="8" max="8" width="16.140625" bestFit="1" customWidth="1"/>
  </cols>
  <sheetData>
    <row r="1" spans="1:8" x14ac:dyDescent="0.25">
      <c r="B1" s="77" t="s">
        <v>144</v>
      </c>
      <c r="C1" s="91">
        <v>44743</v>
      </c>
      <c r="D1" s="77" t="s">
        <v>143</v>
      </c>
      <c r="E1" s="91">
        <v>44773</v>
      </c>
    </row>
    <row r="3" spans="1:8" x14ac:dyDescent="0.25">
      <c r="A3" s="19" t="s">
        <v>0</v>
      </c>
      <c r="B3" s="19" t="s">
        <v>6</v>
      </c>
      <c r="C3" s="19" t="s">
        <v>1</v>
      </c>
      <c r="D3" s="19" t="s">
        <v>107</v>
      </c>
      <c r="E3" s="19" t="s">
        <v>3</v>
      </c>
      <c r="F3" s="28" t="s">
        <v>10</v>
      </c>
      <c r="G3" s="19" t="s">
        <v>11</v>
      </c>
      <c r="H3" s="42" t="s">
        <v>106</v>
      </c>
    </row>
    <row r="4" spans="1:8" x14ac:dyDescent="0.25">
      <c r="A4" s="60" t="s">
        <v>13</v>
      </c>
      <c r="B4" s="61"/>
      <c r="C4" s="62"/>
      <c r="D4" s="63"/>
      <c r="E4" s="64"/>
      <c r="F4" s="63"/>
      <c r="G4" s="65"/>
      <c r="H4" s="65"/>
    </row>
    <row r="5" spans="1:8" x14ac:dyDescent="0.25">
      <c r="A5" s="1" t="s">
        <v>18</v>
      </c>
      <c r="B5" s="2" t="str">
        <f>IF(A5="","",VLOOKUP(A5,'Base Datos'!$A$2:$M$33,2,FALSE))</f>
        <v>Mate con Dije</v>
      </c>
      <c r="C5" s="9">
        <f>IF(A5="","",VLOOKUP(A5,'Base Datos'!$A$2:$S$33,14,FALSE))</f>
        <v>0</v>
      </c>
      <c r="D5" s="22">
        <f>IF(A5="","",VLOOKUP(A5,'Base Datos'!$A$2:$S$33,15,FALSE))</f>
        <v>8000</v>
      </c>
      <c r="E5" s="15">
        <f>IF(A5="","",VLOOKUP(A5,'Base Datos'!$A$2:$S$33,16,FALSE))</f>
        <v>8000</v>
      </c>
      <c r="F5" s="10">
        <f>SUMIFS(Tabla!$T:$T,Tabla!$A:$A,"&gt;="&amp;$C$1,Tabla!$A:$A,"&lt;="&amp;$E$1,Tabla!$E:$E,Resumen[Código])</f>
        <v>8423</v>
      </c>
      <c r="G5" s="10">
        <f>Resumen[[#This Row],[Plan]]-Resumen[[#This Row],[Fabricado]]</f>
        <v>-423</v>
      </c>
      <c r="H5" s="43">
        <f>Resumen[[#This Row],[Fabricado]]/Resumen[[#This Row],[Plan]]</f>
        <v>1.052875</v>
      </c>
    </row>
    <row r="6" spans="1:8" x14ac:dyDescent="0.25">
      <c r="A6" s="1" t="s">
        <v>44</v>
      </c>
      <c r="B6" s="2" t="str">
        <f>IF(A6="","",VLOOKUP(A6,'Base Datos'!$A$2:$M$33,2,FALSE))</f>
        <v>Mate con Asa PP</v>
      </c>
      <c r="C6" s="9">
        <f>IF(A6="","",VLOOKUP(A6,'Base Datos'!$A$2:$S$33,14,FALSE))</f>
        <v>0</v>
      </c>
      <c r="D6" s="22">
        <f>IF(A6="","",VLOOKUP(A6,'Base Datos'!$A$2:$S$33,15,FALSE))</f>
        <v>20000</v>
      </c>
      <c r="E6" s="15">
        <f>IF(A6="","",VLOOKUP(A6,'Base Datos'!$A$2:$S$33,16,FALSE))</f>
        <v>20000</v>
      </c>
      <c r="F6" s="10">
        <f>SUMIFS(Tabla!$T:$T,Tabla!$A:$A,"&gt;="&amp;$C$1,Tabla!$A:$A,"&lt;="&amp;$E$1,Tabla!$E:$E,Resumen[Código])</f>
        <v>13706</v>
      </c>
      <c r="G6" s="10">
        <f>Resumen[[#This Row],[Plan]]-Resumen[[#This Row],[Fabricado]]</f>
        <v>6294</v>
      </c>
      <c r="H6" s="43">
        <f>Resumen[[#This Row],[Fabricado]]/Resumen[[#This Row],[Plan]]</f>
        <v>0.68530000000000002</v>
      </c>
    </row>
    <row r="7" spans="1:8" x14ac:dyDescent="0.25">
      <c r="A7" s="1" t="s">
        <v>39</v>
      </c>
      <c r="B7" s="2" t="str">
        <f>IF(A7="","",VLOOKUP(A7,'Base Datos'!$A$2:$M$33,2,FALSE))</f>
        <v>Mate con Asa PS Glitter</v>
      </c>
      <c r="C7" s="9">
        <f>IF(A7="","",VLOOKUP(A7,'Base Datos'!$A$2:$S$33,14,FALSE))</f>
        <v>0</v>
      </c>
      <c r="D7" s="22">
        <f>IF(A7="","",VLOOKUP(A7,'Base Datos'!$A$2:$S$33,15,FALSE))</f>
        <v>1500</v>
      </c>
      <c r="E7" s="15">
        <f>IF(A7="","",VLOOKUP(A7,'Base Datos'!$A$2:$S$33,16,FALSE))</f>
        <v>1500</v>
      </c>
      <c r="F7" s="10">
        <f>SUMIFS(Tabla!$T:$T,Tabla!$A:$A,"&gt;="&amp;$C$1,Tabla!$A:$A,"&lt;="&amp;$E$1,Tabla!$E:$E,Resumen[Código])</f>
        <v>0</v>
      </c>
      <c r="G7" s="10">
        <f>Resumen[[#This Row],[Plan]]-Resumen[[#This Row],[Fabricado]]</f>
        <v>1500</v>
      </c>
      <c r="H7" s="43">
        <f>Resumen[[#This Row],[Fabricado]]/Resumen[[#This Row],[Plan]]</f>
        <v>0</v>
      </c>
    </row>
    <row r="8" spans="1:8" x14ac:dyDescent="0.25">
      <c r="A8" s="1" t="s">
        <v>53</v>
      </c>
      <c r="B8" s="2" t="str">
        <f>IF(A8="","",VLOOKUP(A8,'Base Datos'!$A$2:$M$33,2,FALSE))</f>
        <v>Mate con Asa Fluo</v>
      </c>
      <c r="C8" s="9">
        <f>IF(A8="","",VLOOKUP(A8,'Base Datos'!$A$2:$S$33,14,FALSE))</f>
        <v>0</v>
      </c>
      <c r="D8" s="22">
        <f>IF(A8="","",VLOOKUP(A8,'Base Datos'!$A$2:$S$33,15,FALSE))</f>
        <v>1500</v>
      </c>
      <c r="E8" s="15">
        <f>IF(A8="","",VLOOKUP(A8,'Base Datos'!$A$2:$S$33,16,FALSE))</f>
        <v>1500</v>
      </c>
      <c r="F8" s="10">
        <f>SUMIFS(Tabla!$T:$T,Tabla!$A:$A,"&gt;="&amp;$C$1,Tabla!$A:$A,"&lt;="&amp;$E$1,Tabla!$E:$E,Resumen[Código])</f>
        <v>0</v>
      </c>
      <c r="G8" s="10">
        <f>Resumen[[#This Row],[Plan]]-Resumen[[#This Row],[Fabricado]]</f>
        <v>1500</v>
      </c>
      <c r="H8" s="43">
        <f>Resumen[[#This Row],[Fabricado]]/Resumen[[#This Row],[Plan]]</f>
        <v>0</v>
      </c>
    </row>
    <row r="9" spans="1:8" x14ac:dyDescent="0.25">
      <c r="A9" s="1" t="s">
        <v>43</v>
      </c>
      <c r="B9" s="2" t="str">
        <f>IF(A9="","",VLOOKUP(A9,'Base Datos'!$A$2:$M$33,2,FALSE))</f>
        <v>Mate Prisma PP</v>
      </c>
      <c r="C9" s="9">
        <f>IF(A9="","",VLOOKUP(A9,'Base Datos'!$A$2:$S$33,14,FALSE))</f>
        <v>0</v>
      </c>
      <c r="D9" s="22">
        <f>IF(A9="","",VLOOKUP(A9,'Base Datos'!$A$2:$S$33,15,FALSE))</f>
        <v>7200</v>
      </c>
      <c r="E9" s="15">
        <f>IF(A9="","",VLOOKUP(A9,'Base Datos'!$A$2:$S$33,16,FALSE))</f>
        <v>7200</v>
      </c>
      <c r="F9" s="10">
        <f>SUMIFS(Tabla!$T:$T,Tabla!$A:$A,"&gt;="&amp;$C$1,Tabla!$A:$A,"&lt;="&amp;$E$1,Tabla!$E:$E,Resumen[Código])</f>
        <v>7357.3</v>
      </c>
      <c r="G9" s="10">
        <f>Resumen[[#This Row],[Plan]]-Resumen[[#This Row],[Fabricado]]</f>
        <v>-157.30000000000018</v>
      </c>
      <c r="H9" s="43">
        <f>Resumen[[#This Row],[Fabricado]]/Resumen[[#This Row],[Plan]]</f>
        <v>1.0218472222222224</v>
      </c>
    </row>
    <row r="10" spans="1:8" x14ac:dyDescent="0.25">
      <c r="A10" s="1" t="s">
        <v>42</v>
      </c>
      <c r="B10" s="2" t="str">
        <f>IF(A10="","",VLOOKUP(A10,'Base Datos'!$A$2:$M$33,2,FALSE))</f>
        <v>Mate Prisma PS Glitter</v>
      </c>
      <c r="C10" s="9">
        <f>IF(A10="","",VLOOKUP(A10,'Base Datos'!$A$2:$S$33,14,FALSE))</f>
        <v>0</v>
      </c>
      <c r="D10" s="22">
        <f>IF(A10="","",VLOOKUP(A10,'Base Datos'!$A$2:$S$33,15,FALSE))</f>
        <v>1000</v>
      </c>
      <c r="E10" s="15">
        <f>IF(A10="","",VLOOKUP(A10,'Base Datos'!$A$2:$S$33,16,FALSE))</f>
        <v>1000</v>
      </c>
      <c r="F10" s="10">
        <f>SUMIFS(Tabla!$T:$T,Tabla!$A:$A,"&gt;="&amp;$C$1,Tabla!$A:$A,"&lt;="&amp;$E$1,Tabla!$E:$E,Resumen[Código])</f>
        <v>0</v>
      </c>
      <c r="G10" s="10">
        <f>Resumen[[#This Row],[Plan]]-Resumen[[#This Row],[Fabricado]]</f>
        <v>1000</v>
      </c>
      <c r="H10" s="43">
        <f>Resumen[[#This Row],[Fabricado]]/Resumen[[#This Row],[Plan]]</f>
        <v>0</v>
      </c>
    </row>
    <row r="11" spans="1:8" x14ac:dyDescent="0.25">
      <c r="A11" s="1" t="s">
        <v>52</v>
      </c>
      <c r="B11" s="2" t="str">
        <f>IF(A11="","",VLOOKUP(A11,'Base Datos'!$A$2:$M$33,2,FALSE))</f>
        <v>Disco extractor</v>
      </c>
      <c r="C11" s="9">
        <f>IF(A11="","",VLOOKUP(A11,'Base Datos'!$A$2:$S$33,14,FALSE))</f>
        <v>0</v>
      </c>
      <c r="D11" s="22">
        <f>IF(A11="","",VLOOKUP(A11,'Base Datos'!$A$2:$S$33,15,FALSE))</f>
        <v>50000</v>
      </c>
      <c r="E11" s="15">
        <f>IF(A11="","",VLOOKUP(A11,'Base Datos'!$A$2:$S$33,16,FALSE))</f>
        <v>50000</v>
      </c>
      <c r="F11" s="10">
        <f>SUMIFS(Tabla!$T:$T,Tabla!$A:$A,"&gt;="&amp;$C$1,Tabla!$A:$A,"&lt;="&amp;$E$1,Tabla!$E:$E,Resumen[Código])</f>
        <v>62535</v>
      </c>
      <c r="G11" s="10">
        <f>Resumen[[#This Row],[Plan]]-Resumen[[#This Row],[Fabricado]]</f>
        <v>-12535</v>
      </c>
      <c r="H11" s="43">
        <f>Resumen[[#This Row],[Fabricado]]/Resumen[[#This Row],[Plan]]</f>
        <v>1.2506999999999999</v>
      </c>
    </row>
    <row r="12" spans="1:8" x14ac:dyDescent="0.25">
      <c r="A12" s="1" t="s">
        <v>54</v>
      </c>
      <c r="B12" s="2" t="str">
        <f>IF(A12="","",VLOOKUP(A12,'Base Datos'!$A$2:$M$33,2,FALSE))</f>
        <v>Mate Marwal</v>
      </c>
      <c r="C12" s="9">
        <f>IF(A12="","",VLOOKUP(A12,'Base Datos'!$A$2:$S$33,14,FALSE))</f>
        <v>0</v>
      </c>
      <c r="D12" s="22">
        <f>IF(A12="","",VLOOKUP(A12,'Base Datos'!$A$2:$S$33,15,FALSE))</f>
        <v>11000</v>
      </c>
      <c r="E12" s="15">
        <f>IF(A12="","",VLOOKUP(A12,'Base Datos'!$A$2:$S$33,16,FALSE))</f>
        <v>11000</v>
      </c>
      <c r="F12" s="10">
        <f>SUMIFS(Tabla!$T:$T,Tabla!$A:$A,"&gt;="&amp;$C$1,Tabla!$A:$A,"&lt;="&amp;$E$1,Tabla!$E:$E,Resumen[Código])</f>
        <v>16842</v>
      </c>
      <c r="G12" s="10">
        <f>Resumen[[#This Row],[Plan]]-Resumen[[#This Row],[Fabricado]]</f>
        <v>-5842</v>
      </c>
      <c r="H12" s="43">
        <f>Resumen[[#This Row],[Fabricado]]/Resumen[[#This Row],[Plan]]</f>
        <v>1.5310909090909091</v>
      </c>
    </row>
    <row r="13" spans="1:8" x14ac:dyDescent="0.25">
      <c r="A13" s="52" t="s">
        <v>36</v>
      </c>
      <c r="B13" s="53"/>
      <c r="C13" s="54"/>
      <c r="D13" s="55"/>
      <c r="E13" s="56"/>
      <c r="F13" s="57"/>
      <c r="G13" s="58"/>
      <c r="H13" s="59"/>
    </row>
    <row r="14" spans="1:8" x14ac:dyDescent="0.25">
      <c r="A14" s="47" t="s">
        <v>59</v>
      </c>
      <c r="B14" s="2" t="str">
        <f>IF(A14="","",VLOOKUP(A14,'Base Datos'!$A$2:$M$33,2,FALSE))</f>
        <v>Lata Alta 6 Colores</v>
      </c>
      <c r="C14" s="9">
        <f>IF(A14="","",VLOOKUP(A14,'Base Datos'!$A$2:$S$33,14,FALSE))</f>
        <v>0</v>
      </c>
      <c r="D14" s="22">
        <f>IF(A14="","",VLOOKUP(A14,'Base Datos'!$A$2:$S$33,15,FALSE))</f>
        <v>4080</v>
      </c>
      <c r="E14" s="15">
        <f>IF(A14="","",VLOOKUP(A14,'Base Datos'!$A$2:$S$33,16,FALSE))</f>
        <v>4080</v>
      </c>
      <c r="F14" s="10">
        <f>SUMIFS(Tabla!$T:$T,Tabla!$A:$A,"&gt;="&amp;$C$1,Tabla!$A:$A,"&lt;="&amp;$E$1,Tabla!$E:$E,Resumen[Código])</f>
        <v>7669</v>
      </c>
      <c r="G14" s="10">
        <f>Resumen[[#This Row],[Plan]]-Resumen[[#This Row],[Fabricado]]</f>
        <v>-3589</v>
      </c>
      <c r="H14" s="43">
        <f>Resumen[[#This Row],[Fabricado]]/Resumen[[#This Row],[Plan]]</f>
        <v>1.879656862745098</v>
      </c>
    </row>
    <row r="15" spans="1:8" x14ac:dyDescent="0.25">
      <c r="A15" s="47" t="s">
        <v>60</v>
      </c>
      <c r="B15" s="2" t="str">
        <f>IF(A15="","",VLOOKUP(A15,'Base Datos'!$A$2:$M$33,2,FALSE))</f>
        <v>Lata Baja 6 Colores</v>
      </c>
      <c r="C15" s="9">
        <f>IF(A15="","",VLOOKUP(A15,'Base Datos'!$A$2:$S$33,14,FALSE))</f>
        <v>0</v>
      </c>
      <c r="D15" s="22">
        <f>IF(A15="","",VLOOKUP(A15,'Base Datos'!$A$2:$S$33,15,FALSE))</f>
        <v>4080</v>
      </c>
      <c r="E15" s="15">
        <f>IF(A15="","",VLOOKUP(A15,'Base Datos'!$A$2:$S$33,16,FALSE))</f>
        <v>4080</v>
      </c>
      <c r="F15" s="10">
        <f>SUMIFS(Tabla!$T:$T,Tabla!$A:$A,"&gt;="&amp;$C$1,Tabla!$A:$A,"&lt;="&amp;$E$1,Tabla!$E:$E,Resumen[Código])</f>
        <v>5265</v>
      </c>
      <c r="G15" s="10">
        <f>Resumen[[#This Row],[Plan]]-Resumen[[#This Row],[Fabricado]]</f>
        <v>-1185</v>
      </c>
      <c r="H15" s="43">
        <f>Resumen[[#This Row],[Fabricado]]/Resumen[[#This Row],[Plan]]</f>
        <v>1.2904411764705883</v>
      </c>
    </row>
    <row r="16" spans="1:8" x14ac:dyDescent="0.25">
      <c r="A16" s="47" t="s">
        <v>61</v>
      </c>
      <c r="B16" s="2" t="str">
        <f>IF(A16="","",VLOOKUP(A16,'Base Datos'!$A$2:$M$33,2,FALSE))</f>
        <v>Tapa Lata 6 Colores</v>
      </c>
      <c r="C16" s="9">
        <f>IF(A16="","",VLOOKUP(A16,'Base Datos'!$A$2:$S$33,14,FALSE))</f>
        <v>0</v>
      </c>
      <c r="D16" s="22">
        <f>IF(A16="","",VLOOKUP(A16,'Base Datos'!$A$2:$S$33,15,FALSE))</f>
        <v>15000</v>
      </c>
      <c r="E16" s="15">
        <f>IF(A16="","",VLOOKUP(A16,'Base Datos'!$A$2:$S$33,16,FALSE))</f>
        <v>15000</v>
      </c>
      <c r="F16" s="10">
        <f>SUMIFS(Tabla!$T:$T,Tabla!$A:$A,"&gt;="&amp;$C$1,Tabla!$A:$A,"&lt;="&amp;$E$1,Tabla!$E:$E,Resumen[Código])</f>
        <v>22418</v>
      </c>
      <c r="G16" s="10">
        <f>Resumen[[#This Row],[Plan]]-Resumen[[#This Row],[Fabricado]]</f>
        <v>-7418</v>
      </c>
      <c r="H16" s="43">
        <f>Resumen[[#This Row],[Fabricado]]/Resumen[[#This Row],[Plan]]</f>
        <v>1.4945333333333333</v>
      </c>
    </row>
    <row r="17" spans="1:8" x14ac:dyDescent="0.25">
      <c r="A17" s="47" t="s">
        <v>63</v>
      </c>
      <c r="B17" s="2" t="str">
        <f>IF(A17="","",VLOOKUP(A17,'Base Datos'!$A$2:$M$33,2,FALSE))</f>
        <v>Lata Alta Glitter</v>
      </c>
      <c r="C17" s="9">
        <f>IF(A17="","",VLOOKUP(A17,'Base Datos'!$A$2:$S$33,14,FALSE))</f>
        <v>0</v>
      </c>
      <c r="D17" s="22">
        <f>IF(A17="","",VLOOKUP(A17,'Base Datos'!$A$2:$S$33,15,FALSE))</f>
        <v>1360</v>
      </c>
      <c r="E17" s="15">
        <f>IF(A17="","",VLOOKUP(A17,'Base Datos'!$A$2:$S$33,16,FALSE))</f>
        <v>1360</v>
      </c>
      <c r="F17" s="10">
        <f>SUMIFS(Tabla!$T:$T,Tabla!$A:$A,"&gt;="&amp;$C$1,Tabla!$A:$A,"&lt;="&amp;$E$1,Tabla!$E:$E,Resumen[Código])</f>
        <v>1755</v>
      </c>
      <c r="G17" s="10">
        <f>Resumen[[#This Row],[Plan]]-Resumen[[#This Row],[Fabricado]]</f>
        <v>-395</v>
      </c>
      <c r="H17" s="43">
        <f>Resumen[[#This Row],[Fabricado]]/Resumen[[#This Row],[Plan]]</f>
        <v>1.2904411764705883</v>
      </c>
    </row>
    <row r="18" spans="1:8" x14ac:dyDescent="0.25">
      <c r="A18" s="47" t="s">
        <v>64</v>
      </c>
      <c r="B18" s="2" t="str">
        <f>IF(A18="","",VLOOKUP(A18,'Base Datos'!$A$2:$M$33,2,FALSE))</f>
        <v>Lata Baja Glitter</v>
      </c>
      <c r="C18" s="9">
        <f>IF(A18="","",VLOOKUP(A18,'Base Datos'!$A$2:$S$33,14,FALSE))</f>
        <v>0</v>
      </c>
      <c r="D18" s="22">
        <f>IF(A18="","",VLOOKUP(A18,'Base Datos'!$A$2:$S$33,15,FALSE))</f>
        <v>1360</v>
      </c>
      <c r="E18" s="15">
        <f>IF(A18="","",VLOOKUP(A18,'Base Datos'!$A$2:$S$33,16,FALSE))</f>
        <v>1360</v>
      </c>
      <c r="F18" s="10">
        <f>SUMIFS(Tabla!$T:$T,Tabla!$A:$A,"&gt;="&amp;$C$1,Tabla!$A:$A,"&lt;="&amp;$E$1,Tabla!$E:$E,Resumen[Código])</f>
        <v>4123</v>
      </c>
      <c r="G18" s="10">
        <f>Resumen[[#This Row],[Plan]]-Resumen[[#This Row],[Fabricado]]</f>
        <v>-2763</v>
      </c>
      <c r="H18" s="43">
        <f>Resumen[[#This Row],[Fabricado]]/Resumen[[#This Row],[Plan]]</f>
        <v>3.0316176470588236</v>
      </c>
    </row>
    <row r="19" spans="1:8" x14ac:dyDescent="0.25">
      <c r="A19" s="60" t="s">
        <v>134</v>
      </c>
      <c r="B19" s="61"/>
      <c r="C19" s="66"/>
      <c r="D19" s="67"/>
      <c r="E19" s="68"/>
      <c r="F19" s="63"/>
      <c r="G19" s="65"/>
      <c r="H19" s="69"/>
    </row>
    <row r="20" spans="1:8" x14ac:dyDescent="0.25">
      <c r="A20" s="1" t="s">
        <v>46</v>
      </c>
      <c r="B20" s="2" t="str">
        <f>IF(A20="","",VLOOKUP(A20,'Base Datos'!$A$2:$M$33,2,FALSE))</f>
        <v>Marco superior pico transparente</v>
      </c>
      <c r="C20" s="9">
        <f>IF(A20="","",VLOOKUP(A20,'Base Datos'!$A$2:$S$33,14,FALSE))</f>
        <v>0</v>
      </c>
      <c r="D20" s="22">
        <f>IF(A20="","",VLOOKUP(A20,'Base Datos'!$A$2:$S$33,15,FALSE))</f>
        <v>120000</v>
      </c>
      <c r="E20" s="15">
        <f>IF(A20="","",VLOOKUP(A20,'Base Datos'!$A$2:$S$33,16,FALSE))</f>
        <v>120000</v>
      </c>
      <c r="F20" s="10">
        <f>SUMIFS(Tabla!$T:$T,Tabla!$A:$A,"&gt;="&amp;$C$1,Tabla!$A:$A,"&lt;="&amp;$E$1,Tabla!$E:$E,Resumen[Código])</f>
        <v>46385</v>
      </c>
      <c r="G20" s="10">
        <f>Resumen[[#This Row],[Plan]]-Resumen[[#This Row],[Fabricado]]</f>
        <v>73615</v>
      </c>
      <c r="H20" s="43">
        <f>Resumen[[#This Row],[Fabricado]]/Resumen[[#This Row],[Plan]]</f>
        <v>0.38654166666666667</v>
      </c>
    </row>
    <row r="21" spans="1:8" x14ac:dyDescent="0.25">
      <c r="A21" s="1" t="s">
        <v>49</v>
      </c>
      <c r="B21" s="2" t="str">
        <f>IF(A21="","",VLOOKUP(A21,'Base Datos'!$A$2:$M$33,2,FALSE))</f>
        <v>Marco inferior pico transparente</v>
      </c>
      <c r="C21" s="9">
        <f>IF(A21="","",VLOOKUP(A21,'Base Datos'!$A$2:$S$33,14,FALSE))</f>
        <v>0</v>
      </c>
      <c r="D21" s="22">
        <f>IF(A21="","",VLOOKUP(A21,'Base Datos'!$A$2:$S$33,15,FALSE))</f>
        <v>120000</v>
      </c>
      <c r="E21" s="15">
        <f>IF(A21="","",VLOOKUP(A21,'Base Datos'!$A$2:$S$33,16,FALSE))</f>
        <v>120000</v>
      </c>
      <c r="F21" s="10">
        <f>SUMIFS(Tabla!$T:$T,Tabla!$A:$A,"&gt;="&amp;$C$1,Tabla!$A:$A,"&lt;="&amp;$E$1,Tabla!$E:$E,Resumen[Código])</f>
        <v>211152</v>
      </c>
      <c r="G21" s="10">
        <f>Resumen[[#This Row],[Plan]]-Resumen[[#This Row],[Fabricado]]</f>
        <v>-91152</v>
      </c>
      <c r="H21" s="43">
        <f>Resumen[[#This Row],[Fabricado]]/Resumen[[#This Row],[Plan]]</f>
        <v>1.7596000000000001</v>
      </c>
    </row>
    <row r="22" spans="1:8" x14ac:dyDescent="0.25">
      <c r="A22" s="1" t="s">
        <v>50</v>
      </c>
      <c r="B22" s="2" t="str">
        <f>IF(A22="","",VLOOKUP(A22,'Base Datos'!$A$2:$M$33,2,FALSE))</f>
        <v>Vertedor pico transparente</v>
      </c>
      <c r="C22" s="9">
        <f>IF(A22="","",VLOOKUP(A22,'Base Datos'!$A$2:$S$33,14,FALSE))</f>
        <v>0</v>
      </c>
      <c r="D22" s="22">
        <f>IF(A22="","",VLOOKUP(A22,'Base Datos'!$A$2:$S$33,15,FALSE))</f>
        <v>120000</v>
      </c>
      <c r="E22" s="15">
        <f>IF(A22="","",VLOOKUP(A22,'Base Datos'!$A$2:$S$33,16,FALSE))</f>
        <v>120000</v>
      </c>
      <c r="F22" s="10">
        <f>SUMIFS(Tabla!$T:$T,Tabla!$A:$A,"&gt;="&amp;$C$1,Tabla!$A:$A,"&lt;="&amp;$E$1,Tabla!$E:$E,Resumen[Código])</f>
        <v>113357</v>
      </c>
      <c r="G22" s="10">
        <f>Resumen[[#This Row],[Plan]]-Resumen[[#This Row],[Fabricado]]</f>
        <v>6643</v>
      </c>
      <c r="H22" s="43">
        <f>Resumen[[#This Row],[Fabricado]]/Resumen[[#This Row],[Plan]]</f>
        <v>0.94464166666666671</v>
      </c>
    </row>
    <row r="23" spans="1:8" x14ac:dyDescent="0.25">
      <c r="A23" s="1" t="s">
        <v>62</v>
      </c>
      <c r="B23" s="2" t="str">
        <f>IF(A23="","",VLOOKUP(A23,'Base Datos'!$A$2:$M$33,2,FALSE))</f>
        <v>Vertedor pico Colores</v>
      </c>
      <c r="C23" s="9">
        <f>IF(A23="","",VLOOKUP(A23,'Base Datos'!$A$2:$S$33,14,FALSE))</f>
        <v>0</v>
      </c>
      <c r="D23" s="22">
        <f>IF(A23="","",VLOOKUP(A23,'Base Datos'!$A$2:$S$33,15,FALSE))</f>
        <v>120000</v>
      </c>
      <c r="E23" s="15">
        <f>IF(A23="","",VLOOKUP(A23,'Base Datos'!$A$2:$S$33,16,FALSE))</f>
        <v>120000</v>
      </c>
      <c r="F23" s="10">
        <f>SUMIFS(Tabla!$T:$T,Tabla!$A:$A,"&gt;="&amp;$C$1,Tabla!$A:$A,"&lt;="&amp;$E$1,Tabla!$E:$E,Resumen[Código])</f>
        <v>4200</v>
      </c>
      <c r="G23" s="10">
        <f>Resumen[[#This Row],[Plan]]-Resumen[[#This Row],[Fabricado]]</f>
        <v>115800</v>
      </c>
      <c r="H23" s="43">
        <f>Resumen[[#This Row],[Fabricado]]/Resumen[[#This Row],[Plan]]</f>
        <v>3.5000000000000003E-2</v>
      </c>
    </row>
    <row r="24" spans="1:8" x14ac:dyDescent="0.25">
      <c r="A24" s="1" t="s">
        <v>69</v>
      </c>
      <c r="B24" s="2" t="str">
        <f>IF(A24="","",VLOOKUP(A24,'Base Datos'!$A$2:$M$33,2,FALSE))</f>
        <v>Marco superior pico NEGRO</v>
      </c>
      <c r="C24" s="9">
        <f>IF(A24="","",VLOOKUP(A24,'Base Datos'!$A$2:$S$33,14,FALSE))</f>
        <v>0</v>
      </c>
      <c r="D24" s="22">
        <f>IF(A24="","",VLOOKUP(A24,'Base Datos'!$A$2:$S$33,15,FALSE))</f>
        <v>20000</v>
      </c>
      <c r="E24" s="15">
        <f>IF(A24="","",VLOOKUP(A24,'Base Datos'!$A$2:$S$33,16,FALSE))</f>
        <v>20000</v>
      </c>
      <c r="F24" s="10">
        <f>SUMIFS(Tabla!$T:$T,Tabla!$A:$A,"&gt;="&amp;$C$1,Tabla!$A:$A,"&lt;="&amp;$E$1,Tabla!$E:$E,Resumen[Código])</f>
        <v>10104</v>
      </c>
      <c r="G24" s="10">
        <f>Resumen[[#This Row],[Plan]]-Resumen[[#This Row],[Fabricado]]</f>
        <v>9896</v>
      </c>
      <c r="H24" s="43">
        <f>Resumen[[#This Row],[Fabricado]]/Resumen[[#This Row],[Plan]]</f>
        <v>0.50519999999999998</v>
      </c>
    </row>
    <row r="25" spans="1:8" x14ac:dyDescent="0.25">
      <c r="A25" s="1" t="s">
        <v>73</v>
      </c>
      <c r="B25" s="2" t="str">
        <f>IF(A25="","",VLOOKUP(A25,'Base Datos'!$A$2:$M$33,2,FALSE))</f>
        <v>Marco inferior pico NEGRO</v>
      </c>
      <c r="C25" s="9">
        <f>IF(A25="","",VLOOKUP(A25,'Base Datos'!$A$2:$S$33,14,FALSE))</f>
        <v>0</v>
      </c>
      <c r="D25" s="22">
        <f>IF(A25="","",VLOOKUP(A25,'Base Datos'!$A$2:$S$33,15,FALSE))</f>
        <v>20000</v>
      </c>
      <c r="E25" s="15">
        <f>IF(A25="","",VLOOKUP(A25,'Base Datos'!$A$2:$S$33,16,FALSE))</f>
        <v>20000</v>
      </c>
      <c r="F25" s="10">
        <f>SUMIFS(Tabla!$T:$T,Tabla!$A:$A,"&gt;="&amp;$C$1,Tabla!$A:$A,"&lt;="&amp;$E$1,Tabla!$E:$E,Resumen[Código])</f>
        <v>27928</v>
      </c>
      <c r="G25" s="10">
        <f>Resumen[[#This Row],[Plan]]-Resumen[[#This Row],[Fabricado]]</f>
        <v>-7928</v>
      </c>
      <c r="H25" s="43">
        <f>Resumen[[#This Row],[Fabricado]]/Resumen[[#This Row],[Plan]]</f>
        <v>1.3964000000000001</v>
      </c>
    </row>
    <row r="26" spans="1:8" x14ac:dyDescent="0.25">
      <c r="A26" s="1" t="s">
        <v>74</v>
      </c>
      <c r="B26" s="2" t="str">
        <f>IF(A26="","",VLOOKUP(A26,'Base Datos'!$A$2:$M$33,2,FALSE))</f>
        <v>Vertedor pico NEGRO</v>
      </c>
      <c r="C26" s="9">
        <f>IF(A26="","",VLOOKUP(A26,'Base Datos'!$A$2:$S$33,14,FALSE))</f>
        <v>0</v>
      </c>
      <c r="D26" s="22">
        <f>IF(A26="","",VLOOKUP(A26,'Base Datos'!$A$2:$S$33,15,FALSE))</f>
        <v>20000</v>
      </c>
      <c r="E26" s="15">
        <f>IF(A26="","",VLOOKUP(A26,'Base Datos'!$A$2:$S$33,16,FALSE))</f>
        <v>20000</v>
      </c>
      <c r="F26" s="10">
        <f>SUMIFS(Tabla!$T:$T,Tabla!$A:$A,"&gt;="&amp;$C$1,Tabla!$A:$A,"&lt;="&amp;$E$1,Tabla!$E:$E,Resumen[Código])</f>
        <v>10598</v>
      </c>
      <c r="G26" s="10">
        <f>Resumen[[#This Row],[Plan]]-Resumen[[#This Row],[Fabricado]]</f>
        <v>9402</v>
      </c>
      <c r="H26" s="43">
        <f>Resumen[[#This Row],[Fabricado]]/Resumen[[#This Row],[Plan]]</f>
        <v>0.52990000000000004</v>
      </c>
    </row>
    <row r="27" spans="1:8" x14ac:dyDescent="0.25">
      <c r="A27" s="1" t="s">
        <v>75</v>
      </c>
      <c r="B27" s="2" t="str">
        <f>IF(A27="","",VLOOKUP(A27,'Base Datos'!$A$2:$M$33,2,FALSE))</f>
        <v>Marco superior pico BLANCO</v>
      </c>
      <c r="C27" s="9">
        <f>IF(A27="","",VLOOKUP(A27,'Base Datos'!$A$2:$S$33,14,FALSE))</f>
        <v>0</v>
      </c>
      <c r="D27" s="22">
        <f>IF(A27="","",VLOOKUP(A27,'Base Datos'!$A$2:$S$33,15,FALSE))</f>
        <v>15000</v>
      </c>
      <c r="E27" s="15">
        <f>IF(A27="","",VLOOKUP(A27,'Base Datos'!$A$2:$S$33,16,FALSE))</f>
        <v>15000</v>
      </c>
      <c r="F27" s="10">
        <f>SUMIFS(Tabla!$T:$T,Tabla!$A:$A,"&gt;="&amp;$C$1,Tabla!$A:$A,"&lt;="&amp;$E$1,Tabla!$E:$E,Resumen[Código])</f>
        <v>0</v>
      </c>
      <c r="G27" s="10">
        <f>Resumen[[#This Row],[Plan]]-Resumen[[#This Row],[Fabricado]]</f>
        <v>15000</v>
      </c>
      <c r="H27" s="43">
        <f>Resumen[[#This Row],[Fabricado]]/Resumen[[#This Row],[Plan]]</f>
        <v>0</v>
      </c>
    </row>
    <row r="28" spans="1:8" x14ac:dyDescent="0.25">
      <c r="A28" s="1" t="s">
        <v>76</v>
      </c>
      <c r="B28" s="2" t="str">
        <f>IF(A28="","",VLOOKUP(A28,'Base Datos'!$A$2:$M$33,2,FALSE))</f>
        <v>Marco inferior pico BLANCO</v>
      </c>
      <c r="C28" s="9">
        <f>IF(A28="","",VLOOKUP(A28,'Base Datos'!$A$2:$S$33,14,FALSE))</f>
        <v>0</v>
      </c>
      <c r="D28" s="22">
        <f>IF(A28="","",VLOOKUP(A28,'Base Datos'!$A$2:$S$33,15,FALSE))</f>
        <v>15000</v>
      </c>
      <c r="E28" s="15">
        <f>IF(A28="","",VLOOKUP(A28,'Base Datos'!$A$2:$S$33,16,FALSE))</f>
        <v>15000</v>
      </c>
      <c r="F28" s="10">
        <f>SUMIFS(Tabla!$T:$T,Tabla!$A:$A,"&gt;="&amp;$C$1,Tabla!$A:$A,"&lt;="&amp;$E$1,Tabla!$E:$E,Resumen[Código])</f>
        <v>8184</v>
      </c>
      <c r="G28" s="10">
        <f>Resumen[[#This Row],[Plan]]-Resumen[[#This Row],[Fabricado]]</f>
        <v>6816</v>
      </c>
      <c r="H28" s="43">
        <f>Resumen[[#This Row],[Fabricado]]/Resumen[[#This Row],[Plan]]</f>
        <v>0.54559999999999997</v>
      </c>
    </row>
    <row r="29" spans="1:8" x14ac:dyDescent="0.25">
      <c r="A29" s="1" t="s">
        <v>77</v>
      </c>
      <c r="B29" s="2" t="str">
        <f>IF(A29="","",VLOOKUP(A29,'Base Datos'!$A$2:$M$33,2,FALSE))</f>
        <v>Vertedor pico BLANCO</v>
      </c>
      <c r="C29" s="9">
        <f>IF(A29="","",VLOOKUP(A29,'Base Datos'!$A$2:$S$33,14,FALSE))</f>
        <v>0</v>
      </c>
      <c r="D29" s="22">
        <f>IF(A29="","",VLOOKUP(A29,'Base Datos'!$A$2:$S$33,15,FALSE))</f>
        <v>15000</v>
      </c>
      <c r="E29" s="15">
        <f>IF(A29="","",VLOOKUP(A29,'Base Datos'!$A$2:$S$33,16,FALSE))</f>
        <v>15000</v>
      </c>
      <c r="F29" s="10">
        <f>SUMIFS(Tabla!$T:$T,Tabla!$A:$A,"&gt;="&amp;$C$1,Tabla!$A:$A,"&lt;="&amp;$E$1,Tabla!$E:$E,Resumen[Código])</f>
        <v>0</v>
      </c>
      <c r="G29" s="10">
        <f>Resumen[[#This Row],[Plan]]-Resumen[[#This Row],[Fabricado]]</f>
        <v>15000</v>
      </c>
      <c r="H29" s="43">
        <f>Resumen[[#This Row],[Fabricado]]/Resumen[[#This Row],[Plan]]</f>
        <v>0</v>
      </c>
    </row>
    <row r="30" spans="1:8" x14ac:dyDescent="0.25">
      <c r="A30" s="70" t="s">
        <v>135</v>
      </c>
      <c r="B30" s="61"/>
      <c r="C30" s="66"/>
      <c r="D30" s="67"/>
      <c r="E30" s="68"/>
      <c r="F30" s="63"/>
      <c r="G30" s="65"/>
      <c r="H30" s="69"/>
    </row>
    <row r="31" spans="1:8" x14ac:dyDescent="0.25">
      <c r="A31" s="1" t="s">
        <v>138</v>
      </c>
      <c r="B31" s="2" t="str">
        <f>IF(A31="","",VLOOKUP(A31,'Base Datos'!$A$2:$M$33,2,FALSE))</f>
        <v>Vaso Autocebante</v>
      </c>
      <c r="C31" s="9">
        <f>IF(A31="","",VLOOKUP(A31,'Base Datos'!$A$2:$S$33,14,FALSE))</f>
        <v>0</v>
      </c>
      <c r="D31" s="22">
        <f>IF(A31="","",VLOOKUP(A31,'Base Datos'!$A$2:$S$33,15,FALSE))</f>
        <v>6000</v>
      </c>
      <c r="E31" s="15">
        <f>IF(A31="","",VLOOKUP(A31,'Base Datos'!$A$2:$S$33,16,FALSE))</f>
        <v>6000</v>
      </c>
      <c r="F31" s="10">
        <f>SUMIFS(Tabla!$T:$T,Tabla!$A:$A,"&gt;="&amp;$C$1,Tabla!$A:$A,"&lt;="&amp;$E$1,Tabla!$E:$E,Resumen[Código])</f>
        <v>0</v>
      </c>
      <c r="G31" s="10">
        <f>Resumen[[#This Row],[Plan]]-Resumen[[#This Row],[Fabricado]]</f>
        <v>6000</v>
      </c>
      <c r="H31" s="43">
        <f>Resumen[[#This Row],[Fabricado]]/Resumen[[#This Row],[Plan]]</f>
        <v>0</v>
      </c>
    </row>
    <row r="32" spans="1:8" x14ac:dyDescent="0.25">
      <c r="A32" s="1" t="s">
        <v>139</v>
      </c>
      <c r="B32" s="2" t="str">
        <f>IF(A32="","",VLOOKUP(A32,'Base Datos'!$A$2:$M$33,2,FALSE))</f>
        <v>Jarro Autocebante</v>
      </c>
      <c r="C32" s="9">
        <f>IF(A32="","",VLOOKUP(A32,'Base Datos'!$A$2:$S$33,14,FALSE))</f>
        <v>0</v>
      </c>
      <c r="D32" s="22">
        <f>IF(A32="","",VLOOKUP(A32,'Base Datos'!$A$2:$S$33,15,FALSE))</f>
        <v>6000</v>
      </c>
      <c r="E32" s="15">
        <f>IF(A32="","",VLOOKUP(A32,'Base Datos'!$A$2:$S$33,16,FALSE))</f>
        <v>6000</v>
      </c>
      <c r="F32" s="10">
        <f>SUMIFS(Tabla!$T:$T,Tabla!$A:$A,"&gt;="&amp;$C$1,Tabla!$A:$A,"&lt;="&amp;$E$1,Tabla!$E:$E,Resumen[Código])</f>
        <v>0</v>
      </c>
      <c r="G32" s="10">
        <f>Resumen[[#This Row],[Plan]]-Resumen[[#This Row],[Fabricado]]</f>
        <v>6000</v>
      </c>
      <c r="H32" s="43">
        <f>Resumen[[#This Row],[Fabricado]]/Resumen[[#This Row],[Plan]]</f>
        <v>0</v>
      </c>
    </row>
    <row r="33" spans="1:8" x14ac:dyDescent="0.25">
      <c r="A33" s="1" t="s">
        <v>140</v>
      </c>
      <c r="B33" s="2" t="str">
        <f>IF(A33="","",VLOOKUP(A33,'Base Datos'!$A$2:$M$33,2,FALSE))</f>
        <v>Taza a rosca Autocebante</v>
      </c>
      <c r="C33" s="9">
        <f>IF(A33="","",VLOOKUP(A33,'Base Datos'!$A$2:$S$33,14,FALSE))</f>
        <v>0</v>
      </c>
      <c r="D33" s="22">
        <f>IF(A33="","",VLOOKUP(A33,'Base Datos'!$A$2:$S$33,15,FALSE))</f>
        <v>6000</v>
      </c>
      <c r="E33" s="15">
        <f>IF(A33="","",VLOOKUP(A33,'Base Datos'!$A$2:$S$33,16,FALSE))</f>
        <v>6000</v>
      </c>
      <c r="F33" s="10">
        <f>SUMIFS(Tabla!$T:$T,Tabla!$A:$A,"&gt;="&amp;$C$1,Tabla!$A:$A,"&lt;="&amp;$E$1,Tabla!$E:$E,Resumen[Código])</f>
        <v>0</v>
      </c>
      <c r="G33" s="10">
        <f>Resumen[[#This Row],[Plan]]-Resumen[[#This Row],[Fabricado]]</f>
        <v>6000</v>
      </c>
      <c r="H33" s="43">
        <f>Resumen[[#This Row],[Fabricado]]/Resumen[[#This Row],[Plan]]</f>
        <v>0</v>
      </c>
    </row>
    <row r="34" spans="1:8" x14ac:dyDescent="0.25">
      <c r="A34" s="1" t="s">
        <v>141</v>
      </c>
      <c r="B34" s="2" t="str">
        <f>IF(A34="","",VLOOKUP(A34,'Base Datos'!$A$2:$M$33,2,FALSE))</f>
        <v>Tapa Autocebante</v>
      </c>
      <c r="C34" s="9">
        <f>IF(A34="","",VLOOKUP(A34,'Base Datos'!$A$2:$S$33,14,FALSE))</f>
        <v>0</v>
      </c>
      <c r="D34" s="22">
        <f>IF(A34="","",VLOOKUP(A34,'Base Datos'!$A$2:$S$33,15,FALSE))</f>
        <v>6000</v>
      </c>
      <c r="E34" s="15">
        <f>IF(A34="","",VLOOKUP(A34,'Base Datos'!$A$2:$S$33,16,FALSE))</f>
        <v>6000</v>
      </c>
      <c r="F34" s="10">
        <f>SUMIFS(Tabla!$T:$T,Tabla!$A:$A,"&gt;="&amp;$C$1,Tabla!$A:$A,"&lt;="&amp;$E$1,Tabla!$E:$E,Resumen[Código])</f>
        <v>13349</v>
      </c>
      <c r="G34" s="10">
        <f>Resumen[[#This Row],[Plan]]-Resumen[[#This Row],[Fabricado]]</f>
        <v>-7349</v>
      </c>
      <c r="H34" s="43">
        <f>Resumen[[#This Row],[Fabricado]]/Resumen[[#This Row],[Plan]]</f>
        <v>2.2248333333333332</v>
      </c>
    </row>
    <row r="35" spans="1:8" x14ac:dyDescent="0.25">
      <c r="A35" s="2"/>
      <c r="C35" s="9"/>
      <c r="D35" s="10"/>
      <c r="E35" s="49"/>
      <c r="F35" s="10"/>
      <c r="G35" s="10"/>
      <c r="H35" s="10"/>
    </row>
    <row r="36" spans="1:8" x14ac:dyDescent="0.25">
      <c r="A36" s="18"/>
      <c r="B36" s="20" t="s">
        <v>8</v>
      </c>
      <c r="C36" s="18"/>
      <c r="D36" s="18"/>
      <c r="E36" s="51">
        <f>SUBTOTAL(109,Resumen[Plan])</f>
        <v>735080</v>
      </c>
      <c r="F36" s="51">
        <f>SUBTOTAL(109,Resumen[Fabricado])</f>
        <v>595350.30000000005</v>
      </c>
      <c r="G36" s="51">
        <f>SUBTOTAL(109,Resumen[Saldo])</f>
        <v>139729.70000000001</v>
      </c>
      <c r="H36" s="18"/>
    </row>
  </sheetData>
  <pageMargins left="0.7" right="0.7" top="0.75" bottom="0.75" header="0.3" footer="0.3"/>
  <pageSetup paperSize="9" orientation="portrait" r:id="rId1"/>
  <ignoredErrors>
    <ignoredError sqref="F5:F12 H5:H6 H7:H18 H20:H29 H31:H34 F14:F18 F20:F29 F31:F34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"/>
  <sheetViews>
    <sheetView topLeftCell="A10" workbookViewId="0"/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"/>
  <sheetViews>
    <sheetView workbookViewId="0">
      <selection activeCell="A3" sqref="A3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9"/>
  <sheetViews>
    <sheetView topLeftCell="A10" workbookViewId="0">
      <selection activeCell="D62" sqref="D62"/>
    </sheetView>
  </sheetViews>
  <sheetFormatPr baseColWidth="10" defaultRowHeight="15" x14ac:dyDescent="0.25"/>
  <cols>
    <col min="1" max="1" width="16.5703125" customWidth="1"/>
    <col min="2" max="2" width="17.140625" customWidth="1"/>
    <col min="3" max="3" width="6" customWidth="1"/>
    <col min="4" max="4" width="11.85546875" customWidth="1"/>
    <col min="5" max="6" width="12" customWidth="1"/>
    <col min="7" max="7" width="8" customWidth="1"/>
    <col min="8" max="9" width="12" customWidth="1"/>
    <col min="10" max="10" width="11" customWidth="1"/>
    <col min="11" max="11" width="7" customWidth="1"/>
    <col min="12" max="14" width="12" customWidth="1"/>
    <col min="15" max="15" width="8" customWidth="1"/>
    <col min="16" max="16" width="12" customWidth="1"/>
    <col min="17" max="17" width="6" customWidth="1"/>
    <col min="18" max="18" width="12" bestFit="1" customWidth="1"/>
    <col min="19" max="19" width="8" customWidth="1"/>
    <col min="20" max="20" width="10" customWidth="1"/>
    <col min="21" max="21" width="8" customWidth="1"/>
    <col min="22" max="24" width="12" bestFit="1" customWidth="1"/>
    <col min="25" max="25" width="9" customWidth="1"/>
    <col min="26" max="26" width="12" customWidth="1"/>
    <col min="27" max="29" width="12" bestFit="1" customWidth="1"/>
    <col min="30" max="30" width="12" customWidth="1"/>
    <col min="31" max="31" width="10" customWidth="1"/>
    <col min="32" max="32" width="8" customWidth="1"/>
    <col min="33" max="34" width="12" customWidth="1"/>
    <col min="35" max="35" width="12" bestFit="1" customWidth="1"/>
    <col min="36" max="37" width="12" customWidth="1"/>
    <col min="38" max="42" width="12" bestFit="1" customWidth="1"/>
    <col min="43" max="43" width="6" customWidth="1"/>
    <col min="44" max="44" width="12" bestFit="1" customWidth="1"/>
    <col min="45" max="45" width="12" customWidth="1"/>
    <col min="46" max="46" width="12" bestFit="1" customWidth="1"/>
    <col min="47" max="47" width="12" customWidth="1"/>
    <col min="48" max="48" width="12" bestFit="1" customWidth="1"/>
    <col min="49" max="49" width="12" customWidth="1"/>
    <col min="50" max="52" width="12" bestFit="1" customWidth="1"/>
    <col min="53" max="53" width="9" customWidth="1"/>
    <col min="54" max="54" width="7" customWidth="1"/>
    <col min="55" max="57" width="12" bestFit="1" customWidth="1"/>
    <col min="58" max="58" width="8" customWidth="1"/>
    <col min="59" max="59" width="12" bestFit="1" customWidth="1"/>
    <col min="60" max="60" width="5" customWidth="1"/>
    <col min="61" max="61" width="12" bestFit="1" customWidth="1"/>
    <col min="62" max="62" width="12" customWidth="1"/>
    <col min="63" max="63" width="10" customWidth="1"/>
    <col min="64" max="64" width="8" customWidth="1"/>
    <col min="65" max="68" width="12" bestFit="1" customWidth="1"/>
    <col min="69" max="69" width="12" customWidth="1"/>
    <col min="70" max="70" width="12" bestFit="1" customWidth="1"/>
    <col min="71" max="71" width="5" customWidth="1"/>
    <col min="72" max="72" width="12" bestFit="1" customWidth="1"/>
    <col min="73" max="73" width="12" customWidth="1"/>
    <col min="74" max="74" width="9" customWidth="1"/>
    <col min="75" max="76" width="12" bestFit="1" customWidth="1"/>
    <col min="77" max="77" width="12" customWidth="1"/>
    <col min="78" max="78" width="12" bestFit="1" customWidth="1"/>
    <col min="79" max="80" width="10" customWidth="1"/>
    <col min="81" max="81" width="12" bestFit="1" customWidth="1"/>
    <col min="82" max="82" width="10" customWidth="1"/>
    <col min="83" max="84" width="12" bestFit="1" customWidth="1"/>
    <col min="85" max="85" width="12" customWidth="1"/>
    <col min="86" max="86" width="7" customWidth="1"/>
    <col min="87" max="87" width="9" customWidth="1"/>
    <col min="88" max="90" width="12" bestFit="1" customWidth="1"/>
    <col min="91" max="91" width="6" customWidth="1"/>
    <col min="92" max="94" width="12" bestFit="1" customWidth="1"/>
    <col min="95" max="95" width="7" customWidth="1"/>
    <col min="96" max="97" width="12" bestFit="1" customWidth="1"/>
    <col min="98" max="98" width="8" customWidth="1"/>
    <col min="99" max="99" width="11" customWidth="1"/>
    <col min="100" max="101" width="12" customWidth="1"/>
    <col min="102" max="102" width="9" customWidth="1"/>
    <col min="103" max="103" width="12" customWidth="1"/>
    <col min="104" max="104" width="9" customWidth="1"/>
    <col min="105" max="105" width="11" customWidth="1"/>
    <col min="106" max="108" width="12" bestFit="1" customWidth="1"/>
    <col min="109" max="109" width="5" customWidth="1"/>
    <col min="110" max="111" width="12" customWidth="1"/>
    <col min="112" max="112" width="11" customWidth="1"/>
    <col min="113" max="113" width="12" customWidth="1"/>
    <col min="114" max="114" width="12" bestFit="1" customWidth="1"/>
    <col min="115" max="115" width="5" customWidth="1"/>
    <col min="116" max="117" width="12" customWidth="1"/>
    <col min="118" max="118" width="6" customWidth="1"/>
    <col min="119" max="119" width="12" customWidth="1"/>
    <col min="120" max="120" width="9" customWidth="1"/>
    <col min="121" max="121" width="7" customWidth="1"/>
    <col min="122" max="124" width="12" bestFit="1" customWidth="1"/>
    <col min="125" max="125" width="12" customWidth="1"/>
    <col min="126" max="126" width="10" customWidth="1"/>
    <col min="127" max="127" width="9" customWidth="1"/>
    <col min="128" max="128" width="10" customWidth="1"/>
    <col min="129" max="129" width="12" bestFit="1" customWidth="1"/>
    <col min="130" max="130" width="6" customWidth="1"/>
    <col min="131" max="131" width="9" customWidth="1"/>
    <col min="132" max="132" width="12" bestFit="1" customWidth="1"/>
    <col min="133" max="133" width="10" customWidth="1"/>
    <col min="134" max="134" width="12" bestFit="1" customWidth="1"/>
    <col min="135" max="136" width="12" customWidth="1"/>
    <col min="137" max="137" width="12" bestFit="1" customWidth="1"/>
    <col min="138" max="138" width="12" customWidth="1"/>
    <col min="139" max="139" width="8" customWidth="1"/>
    <col min="140" max="141" width="12" bestFit="1" customWidth="1"/>
    <col min="142" max="142" width="9" customWidth="1"/>
    <col min="143" max="143" width="12" bestFit="1" customWidth="1"/>
    <col min="144" max="144" width="10" customWidth="1"/>
    <col min="145" max="145" width="4" customWidth="1"/>
    <col min="146" max="146" width="12" bestFit="1" customWidth="1"/>
    <col min="147" max="147" width="12" customWidth="1"/>
    <col min="148" max="148" width="12" bestFit="1" customWidth="1"/>
    <col min="149" max="150" width="12" customWidth="1"/>
    <col min="151" max="151" width="11" customWidth="1"/>
    <col min="152" max="153" width="12" customWidth="1"/>
    <col min="154" max="154" width="12" bestFit="1" customWidth="1"/>
    <col min="155" max="155" width="9" customWidth="1"/>
    <col min="156" max="156" width="12" bestFit="1" customWidth="1"/>
    <col min="157" max="159" width="12" customWidth="1"/>
    <col min="160" max="162" width="12" bestFit="1" customWidth="1"/>
    <col min="163" max="163" width="5" customWidth="1"/>
    <col min="164" max="164" width="12" customWidth="1"/>
    <col min="165" max="167" width="12" bestFit="1" customWidth="1"/>
    <col min="168" max="168" width="12" customWidth="1"/>
    <col min="169" max="169" width="12" bestFit="1" customWidth="1"/>
    <col min="170" max="170" width="9" customWidth="1"/>
    <col min="171" max="175" width="12" bestFit="1" customWidth="1"/>
    <col min="176" max="177" width="12" customWidth="1"/>
    <col min="178" max="178" width="7" customWidth="1"/>
    <col min="179" max="180" width="10" customWidth="1"/>
    <col min="181" max="181" width="9" customWidth="1"/>
    <col min="182" max="182" width="12" customWidth="1"/>
    <col min="183" max="183" width="9" customWidth="1"/>
    <col min="184" max="185" width="11" customWidth="1"/>
    <col min="186" max="186" width="12" bestFit="1" customWidth="1"/>
    <col min="187" max="187" width="9" customWidth="1"/>
    <col min="188" max="190" width="12" customWidth="1"/>
    <col min="191" max="191" width="12" bestFit="1" customWidth="1"/>
    <col min="192" max="192" width="11" customWidth="1"/>
    <col min="193" max="193" width="5" customWidth="1"/>
    <col min="194" max="197" width="12" bestFit="1" customWidth="1"/>
    <col min="198" max="198" width="10" customWidth="1"/>
    <col min="199" max="199" width="12" customWidth="1"/>
    <col min="200" max="200" width="6" customWidth="1"/>
    <col min="201" max="204" width="12" bestFit="1" customWidth="1"/>
    <col min="205" max="206" width="7" customWidth="1"/>
    <col min="207" max="207" width="12" bestFit="1" customWidth="1"/>
    <col min="208" max="208" width="8" customWidth="1"/>
    <col min="209" max="209" width="10" customWidth="1"/>
    <col min="210" max="210" width="11" customWidth="1"/>
    <col min="211" max="212" width="12" bestFit="1" customWidth="1"/>
    <col min="213" max="213" width="12" customWidth="1"/>
    <col min="214" max="216" width="12" bestFit="1" customWidth="1"/>
    <col min="217" max="217" width="12" customWidth="1"/>
    <col min="218" max="218" width="9" customWidth="1"/>
    <col min="219" max="219" width="12" bestFit="1" customWidth="1"/>
    <col min="220" max="220" width="12" customWidth="1"/>
    <col min="221" max="221" width="12" bestFit="1" customWidth="1"/>
    <col min="222" max="223" width="12" customWidth="1"/>
    <col min="224" max="224" width="10" customWidth="1"/>
    <col min="225" max="226" width="12" bestFit="1" customWidth="1"/>
    <col min="227" max="227" width="9" customWidth="1"/>
    <col min="228" max="228" width="2" customWidth="1"/>
    <col min="229" max="229" width="12" bestFit="1" customWidth="1"/>
    <col min="230" max="230" width="9" customWidth="1"/>
    <col min="231" max="232" width="12" bestFit="1" customWidth="1"/>
    <col min="233" max="233" width="9" customWidth="1"/>
    <col min="234" max="234" width="11" customWidth="1"/>
    <col min="235" max="239" width="12" bestFit="1" customWidth="1"/>
    <col min="240" max="240" width="12" customWidth="1"/>
    <col min="241" max="243" width="12" bestFit="1" customWidth="1"/>
    <col min="244" max="244" width="12" customWidth="1"/>
    <col min="245" max="249" width="12" bestFit="1" customWidth="1"/>
    <col min="250" max="250" width="12" customWidth="1"/>
    <col min="251" max="251" width="6" customWidth="1"/>
    <col min="252" max="252" width="12" bestFit="1" customWidth="1"/>
    <col min="253" max="253" width="9" customWidth="1"/>
    <col min="254" max="254" width="7" customWidth="1"/>
    <col min="255" max="255" width="12" bestFit="1" customWidth="1"/>
    <col min="256" max="256" width="8" customWidth="1"/>
    <col min="257" max="257" width="9" customWidth="1"/>
    <col min="258" max="258" width="11" customWidth="1"/>
    <col min="259" max="259" width="6" customWidth="1"/>
    <col min="260" max="261" width="12" bestFit="1" customWidth="1"/>
    <col min="262" max="262" width="12" customWidth="1"/>
    <col min="263" max="266" width="12" bestFit="1" customWidth="1"/>
    <col min="267" max="267" width="11" customWidth="1"/>
    <col min="268" max="268" width="12" bestFit="1" customWidth="1"/>
    <col min="269" max="269" width="8" customWidth="1"/>
    <col min="270" max="273" width="12" bestFit="1" customWidth="1"/>
    <col min="274" max="274" width="10" customWidth="1"/>
    <col min="275" max="275" width="12" bestFit="1" customWidth="1"/>
    <col min="276" max="277" width="11" customWidth="1"/>
    <col min="278" max="278" width="12" bestFit="1" customWidth="1"/>
    <col min="279" max="279" width="5" customWidth="1"/>
    <col min="280" max="280" width="10" customWidth="1"/>
    <col min="281" max="284" width="12" bestFit="1" customWidth="1"/>
    <col min="285" max="285" width="9" customWidth="1"/>
    <col min="286" max="286" width="11" customWidth="1"/>
    <col min="287" max="287" width="12" bestFit="1" customWidth="1"/>
    <col min="288" max="288" width="11" customWidth="1"/>
    <col min="289" max="291" width="12" bestFit="1" customWidth="1"/>
  </cols>
  <sheetData>
    <row r="1" spans="1:3" x14ac:dyDescent="0.25">
      <c r="B1" s="2"/>
    </row>
    <row r="6" spans="1:3" x14ac:dyDescent="0.25">
      <c r="A6" s="142"/>
    </row>
    <row r="8" spans="1:3" x14ac:dyDescent="0.25">
      <c r="A8" s="141" t="s">
        <v>29</v>
      </c>
      <c r="B8" t="s">
        <v>267</v>
      </c>
    </row>
    <row r="10" spans="1:3" x14ac:dyDescent="0.25">
      <c r="A10" s="141" t="s">
        <v>282</v>
      </c>
      <c r="B10" t="s">
        <v>283</v>
      </c>
      <c r="C10" t="s">
        <v>284</v>
      </c>
    </row>
    <row r="11" spans="1:3" x14ac:dyDescent="0.25">
      <c r="A11" s="2">
        <v>7</v>
      </c>
      <c r="B11" s="143">
        <v>1655.4565277777788</v>
      </c>
      <c r="C11" s="144">
        <v>0.65278254249912415</v>
      </c>
    </row>
    <row r="12" spans="1:3" x14ac:dyDescent="0.25">
      <c r="A12" s="2">
        <v>8</v>
      </c>
      <c r="B12" s="143">
        <v>311.7905833333333</v>
      </c>
      <c r="C12" s="144">
        <v>0.62861004704301071</v>
      </c>
    </row>
    <row r="13" spans="1:3" x14ac:dyDescent="0.25">
      <c r="A13" s="2" t="s">
        <v>266</v>
      </c>
      <c r="B13" s="143">
        <v>1967.2471111111122</v>
      </c>
      <c r="C13" s="144">
        <v>0.64882820287305809</v>
      </c>
    </row>
    <row r="23" spans="1:2" x14ac:dyDescent="0.25">
      <c r="A23" s="141" t="s">
        <v>29</v>
      </c>
      <c r="B23" t="s">
        <v>267</v>
      </c>
    </row>
    <row r="24" spans="1:2" x14ac:dyDescent="0.25">
      <c r="A24" s="141" t="s">
        <v>33</v>
      </c>
      <c r="B24" t="s">
        <v>16</v>
      </c>
    </row>
    <row r="26" spans="1:2" x14ac:dyDescent="0.25">
      <c r="A26" s="141" t="s">
        <v>282</v>
      </c>
      <c r="B26" t="s">
        <v>285</v>
      </c>
    </row>
    <row r="27" spans="1:2" x14ac:dyDescent="0.25">
      <c r="A27" s="2">
        <v>7</v>
      </c>
      <c r="B27" s="142">
        <v>13706</v>
      </c>
    </row>
    <row r="28" spans="1:2" x14ac:dyDescent="0.25">
      <c r="A28" s="2">
        <v>8</v>
      </c>
      <c r="B28" s="142">
        <v>2559</v>
      </c>
    </row>
    <row r="29" spans="1:2" x14ac:dyDescent="0.25">
      <c r="A29" s="2" t="s">
        <v>266</v>
      </c>
      <c r="B29" s="142">
        <v>16265</v>
      </c>
    </row>
  </sheetData>
  <pageMargins left="0.7" right="0.7" top="0.75" bottom="0.75" header="0.3" footer="0.3"/>
  <pageSetup paperSize="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10</vt:i4>
      </vt:variant>
      <vt:variant>
        <vt:lpstr>Gráficos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13" baseType="lpstr">
      <vt:lpstr>Configuracion</vt:lpstr>
      <vt:lpstr>Base Datos</vt:lpstr>
      <vt:lpstr>Capa. Prod.</vt:lpstr>
      <vt:lpstr>Carga</vt:lpstr>
      <vt:lpstr>Tabla</vt:lpstr>
      <vt:lpstr>Análisis producción</vt:lpstr>
      <vt:lpstr>Produccion</vt:lpstr>
      <vt:lpstr>Materia Prima</vt:lpstr>
      <vt:lpstr>Moldes</vt:lpstr>
      <vt:lpstr>Hoja1</vt:lpstr>
      <vt:lpstr>HORAS MÁQUINA RESUMEN ANUAL</vt:lpstr>
      <vt:lpstr>FÁBRICADO POR PIEZA ANUAL</vt:lpstr>
      <vt:lpstr>Tabla!Criterios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2022-06-24T21:13:37Z</cp:lastPrinted>
  <dcterms:created xsi:type="dcterms:W3CDTF">2020-05-18T11:22:03Z</dcterms:created>
  <dcterms:modified xsi:type="dcterms:W3CDTF">2025-10-29T00:22:12Z</dcterms:modified>
</cp:coreProperties>
</file>